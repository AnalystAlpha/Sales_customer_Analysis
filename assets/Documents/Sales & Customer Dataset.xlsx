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0" yWindow="550" windowWidth="18880" windowHeight="6740" activeTab="1"/>
  </bookViews>
  <sheets>
    <sheet name="Raw Data" sheetId="2" r:id="rId1"/>
    <sheet name="Cleaned Data" sheetId="1" r:id="rId2"/>
    <sheet name="pivot Table" sheetId="6" r:id="rId3"/>
  </sheets>
  <calcPr calcId="144525"/>
  <pivotCaches>
    <pivotCache cacheId="0" r:id="rId4"/>
  </pivotCaches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T9" i="1" l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3" i="1"/>
  <c r="T4" i="1"/>
  <c r="T5" i="1"/>
  <c r="T6" i="1"/>
  <c r="T7" i="1"/>
  <c r="T8" i="1"/>
  <c r="T2" i="1"/>
</calcChain>
</file>

<file path=xl/sharedStrings.xml><?xml version="1.0" encoding="utf-8"?>
<sst xmlns="http://schemas.openxmlformats.org/spreadsheetml/2006/main" count="9835" uniqueCount="2191">
  <si>
    <t>ORD-03903</t>
  </si>
  <si>
    <t>CUST32603</t>
  </si>
  <si>
    <t>Aarav Mehta</t>
  </si>
  <si>
    <t>Other</t>
  </si>
  <si>
    <t>Central</t>
  </si>
  <si>
    <t>Raipur</t>
  </si>
  <si>
    <t>Groceries</t>
  </si>
  <si>
    <t>Sugar</t>
  </si>
  <si>
    <t>Debit Card</t>
  </si>
  <si>
    <t>Returned</t>
  </si>
  <si>
    <t>ORD-02198</t>
  </si>
  <si>
    <t>CUST07881</t>
  </si>
  <si>
    <t>Sanjay Verma</t>
  </si>
  <si>
    <t>Male</t>
  </si>
  <si>
    <t>West</t>
  </si>
  <si>
    <t>Mumbai</t>
  </si>
  <si>
    <t>Beauty</t>
  </si>
  <si>
    <t>Sunscreen</t>
  </si>
  <si>
    <t>Delivered</t>
  </si>
  <si>
    <t>ORD-01348</t>
  </si>
  <si>
    <t>CUST49296</t>
  </si>
  <si>
    <t>Pooja Sharma</t>
  </si>
  <si>
    <t>Surat</t>
  </si>
  <si>
    <t>Furniture</t>
  </si>
  <si>
    <t>Sofa</t>
  </si>
  <si>
    <t>ORD-02076</t>
  </si>
  <si>
    <t>CUST05587</t>
  </si>
  <si>
    <t>Priya Reddy</t>
  </si>
  <si>
    <t>Ahmedabad</t>
  </si>
  <si>
    <t>Bed Frame</t>
  </si>
  <si>
    <t>EMI</t>
  </si>
  <si>
    <t>ORD-00287</t>
  </si>
  <si>
    <t>CUST58035</t>
  </si>
  <si>
    <t>Ritu Sharma</t>
  </si>
  <si>
    <t>Nagpur</t>
  </si>
  <si>
    <t>Cooking Oil</t>
  </si>
  <si>
    <t>Net Banking</t>
  </si>
  <si>
    <t>Pending</t>
  </si>
  <si>
    <t>ORD-03954</t>
  </si>
  <si>
    <t>CUST17187</t>
  </si>
  <si>
    <t>Vikram Iyer</t>
  </si>
  <si>
    <t>Books</t>
  </si>
  <si>
    <t>Self-Help Book</t>
  </si>
  <si>
    <t>Cash on Delivery</t>
  </si>
  <si>
    <t>ORD-01412</t>
  </si>
  <si>
    <t>CUST02453</t>
  </si>
  <si>
    <t>Arjun Shah</t>
  </si>
  <si>
    <t>Female</t>
  </si>
  <si>
    <t>Bhopal</t>
  </si>
  <si>
    <t>Credit Card</t>
  </si>
  <si>
    <t>ORD-02911</t>
  </si>
  <si>
    <t>CUST23285</t>
  </si>
  <si>
    <t>Aditya Sharma</t>
  </si>
  <si>
    <t>North</t>
  </si>
  <si>
    <t>Amritsar</t>
  </si>
  <si>
    <t>Clothing</t>
  </si>
  <si>
    <t>Saree</t>
  </si>
  <si>
    <t>UPI</t>
  </si>
  <si>
    <t>ORD-00465</t>
  </si>
  <si>
    <t>CUST23609</t>
  </si>
  <si>
    <t>Aditya Patel</t>
  </si>
  <si>
    <t>East</t>
  </si>
  <si>
    <t>Patna</t>
  </si>
  <si>
    <t>Cancelled</t>
  </si>
  <si>
    <t>ORD-00105</t>
  </si>
  <si>
    <t>CUST75337</t>
  </si>
  <si>
    <t>Arjun Das</t>
  </si>
  <si>
    <t>Kurta</t>
  </si>
  <si>
    <t>ORD-00362</t>
  </si>
  <si>
    <t>CUST80340</t>
  </si>
  <si>
    <t>Meera Mishra</t>
  </si>
  <si>
    <t>Wardrobe</t>
  </si>
  <si>
    <t>ORD-01701</t>
  </si>
  <si>
    <t>CUST47772</t>
  </si>
  <si>
    <t>Shreya Bose</t>
  </si>
  <si>
    <t>Dal (1kg)</t>
  </si>
  <si>
    <t>ORD-02270</t>
  </si>
  <si>
    <t>CUST31062</t>
  </si>
  <si>
    <t>Vikram Pillai</t>
  </si>
  <si>
    <t>Ludhiana</t>
  </si>
  <si>
    <t>Lipstick</t>
  </si>
  <si>
    <t>ORD-03417</t>
  </si>
  <si>
    <t>CUST83946</t>
  </si>
  <si>
    <t>Karan Bose</t>
  </si>
  <si>
    <t>Pune</t>
  </si>
  <si>
    <t>Cook Book</t>
  </si>
  <si>
    <t>ORD-02532</t>
  </si>
  <si>
    <t>CUST73360</t>
  </si>
  <si>
    <t>Deepa Joshi</t>
  </si>
  <si>
    <t>South</t>
  </si>
  <si>
    <t>Kochi</t>
  </si>
  <si>
    <t>T-Shirt</t>
  </si>
  <si>
    <t>ORD-03524</t>
  </si>
  <si>
    <t>CUST50623</t>
  </si>
  <si>
    <t>Deepa Mehta</t>
  </si>
  <si>
    <t>Chair</t>
  </si>
  <si>
    <t>ORD-01814</t>
  </si>
  <si>
    <t>CUST08792</t>
  </si>
  <si>
    <t>Rahul Gupta</t>
  </si>
  <si>
    <t>Bangalore</t>
  </si>
  <si>
    <t>Dress</t>
  </si>
  <si>
    <t>ORD-03257</t>
  </si>
  <si>
    <t>CUST88256</t>
  </si>
  <si>
    <t>Shreya Singh</t>
  </si>
  <si>
    <t>Guwahati</t>
  </si>
  <si>
    <t>Electronics</t>
  </si>
  <si>
    <t>Tablet</t>
  </si>
  <si>
    <t>ORD-04171</t>
  </si>
  <si>
    <t>CUST15084</t>
  </si>
  <si>
    <t>Nikhil Mishra</t>
  </si>
  <si>
    <t>Jacket</t>
  </si>
  <si>
    <t>ORD-00049</t>
  </si>
  <si>
    <t>CUST43401</t>
  </si>
  <si>
    <t>Sanjay Bose</t>
  </si>
  <si>
    <t>Delhi</t>
  </si>
  <si>
    <t>Shipped</t>
  </si>
  <si>
    <t>ORD-01978</t>
  </si>
  <si>
    <t>CUST43165</t>
  </si>
  <si>
    <t>Kavya Kumar</t>
  </si>
  <si>
    <t>Chennai</t>
  </si>
  <si>
    <t>Headphones</t>
  </si>
  <si>
    <t>ORD-00968</t>
  </si>
  <si>
    <t>CUST41573</t>
  </si>
  <si>
    <t>Sanjay Mishra</t>
  </si>
  <si>
    <t>Sports</t>
  </si>
  <si>
    <t>Dumbbells</t>
  </si>
  <si>
    <t>ORD-02727</t>
  </si>
  <si>
    <t>CUST68233</t>
  </si>
  <si>
    <t>Rahul Joshi</t>
  </si>
  <si>
    <t>Comic Book</t>
  </si>
  <si>
    <t>ORD-02986</t>
  </si>
  <si>
    <t>CUST62795</t>
  </si>
  <si>
    <t>Arjun Chatterjee</t>
  </si>
  <si>
    <t>ORD-04158</t>
  </si>
  <si>
    <t>CUST75042</t>
  </si>
  <si>
    <t>Pooja Verma</t>
  </si>
  <si>
    <t>ORD-03913</t>
  </si>
  <si>
    <t>CUST83779</t>
  </si>
  <si>
    <t>Nikhil Bhat</t>
  </si>
  <si>
    <t>Football</t>
  </si>
  <si>
    <t>ORD-01473</t>
  </si>
  <si>
    <t>CUST33809</t>
  </si>
  <si>
    <t>Sanjay Reddy</t>
  </si>
  <si>
    <t>ORD-03795</t>
  </si>
  <si>
    <t>CUST28954</t>
  </si>
  <si>
    <t>Nikhil Bose</t>
  </si>
  <si>
    <t>ORD-01275</t>
  </si>
  <si>
    <t>CUST94413</t>
  </si>
  <si>
    <t>Indore</t>
  </si>
  <si>
    <t>Laptop</t>
  </si>
  <si>
    <t>ORD-00412</t>
  </si>
  <si>
    <t>CUST88814</t>
  </si>
  <si>
    <t>Rahul Kapoor</t>
  </si>
  <si>
    <t>ORD-01848</t>
  </si>
  <si>
    <t>CUST43339</t>
  </si>
  <si>
    <t>Arjun Pillai</t>
  </si>
  <si>
    <t>Cricket Bat</t>
  </si>
  <si>
    <t>ORD-02684</t>
  </si>
  <si>
    <t>CUST32875</t>
  </si>
  <si>
    <t>Kavya Patel</t>
  </si>
  <si>
    <t>Hair Oil</t>
  </si>
  <si>
    <t>ORD-00936</t>
  </si>
  <si>
    <t>CUST82575</t>
  </si>
  <si>
    <t>Kavya Pillai</t>
  </si>
  <si>
    <t>Bookshelf</t>
  </si>
  <si>
    <t>ORD-03422</t>
  </si>
  <si>
    <t>CUST58923</t>
  </si>
  <si>
    <t>Deepa Pillai</t>
  </si>
  <si>
    <t>ORD-01505</t>
  </si>
  <si>
    <t>CUST41623</t>
  </si>
  <si>
    <t>Chandigarh</t>
  </si>
  <si>
    <t>ORD-04045</t>
  </si>
  <si>
    <t>CUST10094</t>
  </si>
  <si>
    <t>Rahul Sharma</t>
  </si>
  <si>
    <t>Camera</t>
  </si>
  <si>
    <t>delivered</t>
  </si>
  <si>
    <t>ORD-02565</t>
  </si>
  <si>
    <t>CUST71120</t>
  </si>
  <si>
    <t>Ritu Nair</t>
  </si>
  <si>
    <t>ORD-02031</t>
  </si>
  <si>
    <t>CUST13864</t>
  </si>
  <si>
    <t>Amit Kumar</t>
  </si>
  <si>
    <t>ORD-03773</t>
  </si>
  <si>
    <t>CUST34644</t>
  </si>
  <si>
    <t>Ananya Patel</t>
  </si>
  <si>
    <t>Jeans</t>
  </si>
  <si>
    <t>ORD-00025</t>
  </si>
  <si>
    <t>CUST91373</t>
  </si>
  <si>
    <t>Karan Iyer</t>
  </si>
  <si>
    <t>ORD-02868</t>
  </si>
  <si>
    <t>CUST17518</t>
  </si>
  <si>
    <t>Sanjay Shah</t>
  </si>
  <si>
    <t>ORD-01993</t>
  </si>
  <si>
    <t>CUST20457</t>
  </si>
  <si>
    <t>Vikram Kumar</t>
  </si>
  <si>
    <t>Tennis Racket</t>
  </si>
  <si>
    <t>ORD-00415</t>
  </si>
  <si>
    <t>CUST39948</t>
  </si>
  <si>
    <t>Nikhil Kapoor</t>
  </si>
  <si>
    <t>Desk</t>
  </si>
  <si>
    <t>ORD-02867</t>
  </si>
  <si>
    <t>CUST70575</t>
  </si>
  <si>
    <t>Aditya Reddy</t>
  </si>
  <si>
    <t>ORD-00757</t>
  </si>
  <si>
    <t>CUST29818</t>
  </si>
  <si>
    <t>Meera Gupta</t>
  </si>
  <si>
    <t>ORD-03357</t>
  </si>
  <si>
    <t>CUST53286</t>
  </si>
  <si>
    <t>Kavya Verma</t>
  </si>
  <si>
    <t>Face Cream</t>
  </si>
  <si>
    <t>ORD-02282</t>
  </si>
  <si>
    <t>CUST94046</t>
  </si>
  <si>
    <t>Ananya Nair</t>
  </si>
  <si>
    <t>ORD-04111</t>
  </si>
  <si>
    <t>CUST99588</t>
  </si>
  <si>
    <t>Meera Kumar</t>
  </si>
  <si>
    <t>ORD-00707</t>
  </si>
  <si>
    <t>CUST43806</t>
  </si>
  <si>
    <t>Nikhil Reddy</t>
  </si>
  <si>
    <t>ORD-01870</t>
  </si>
  <si>
    <t>CUST73941</t>
  </si>
  <si>
    <t>Aditya Mehta</t>
  </si>
  <si>
    <t>Bhubaneswar</t>
  </si>
  <si>
    <t>ORD-01047</t>
  </si>
  <si>
    <t>CUST61067</t>
  </si>
  <si>
    <t>Meera Chatterjee</t>
  </si>
  <si>
    <t>ORD-01968</t>
  </si>
  <si>
    <t>CUST46310</t>
  </si>
  <si>
    <t>Sanjay Kapoor</t>
  </si>
  <si>
    <t>ORD-03033</t>
  </si>
  <si>
    <t>CUST52453</t>
  </si>
  <si>
    <t>Vikram Shah</t>
  </si>
  <si>
    <t>ORD-02831</t>
  </si>
  <si>
    <t>CUST55922</t>
  </si>
  <si>
    <t>Aditya Pillai</t>
  </si>
  <si>
    <t>ORD-00489</t>
  </si>
  <si>
    <t>CUST85726</t>
  </si>
  <si>
    <t>Ritu Verma</t>
  </si>
  <si>
    <t>ORD-00364</t>
  </si>
  <si>
    <t>CUST12024</t>
  </si>
  <si>
    <t>Shreya Kumar</t>
  </si>
  <si>
    <t>ORD-03081</t>
  </si>
  <si>
    <t>CUST01739</t>
  </si>
  <si>
    <t>Rohan Nair</t>
  </si>
  <si>
    <t>Fiction Novel</t>
  </si>
  <si>
    <t>ORD-00357</t>
  </si>
  <si>
    <t>CUST75375</t>
  </si>
  <si>
    <t>Priya Joshi</t>
  </si>
  <si>
    <t>ORD-03752</t>
  </si>
  <si>
    <t>CUST35687</t>
  </si>
  <si>
    <t>Deepa Nair</t>
  </si>
  <si>
    <t>ORD-00117</t>
  </si>
  <si>
    <t>CUST33188</t>
  </si>
  <si>
    <t>Sanjay Joshi</t>
  </si>
  <si>
    <t>Cycle</t>
  </si>
  <si>
    <t>ORD-00225</t>
  </si>
  <si>
    <t>CUST97307</t>
  </si>
  <si>
    <t>Ritu Gupta</t>
  </si>
  <si>
    <t>ORD-01273</t>
  </si>
  <si>
    <t>CUST00699</t>
  </si>
  <si>
    <t>Shreya Nair</t>
  </si>
  <si>
    <t>Textbook</t>
  </si>
  <si>
    <t>ORD-01912</t>
  </si>
  <si>
    <t>CUST02114</t>
  </si>
  <si>
    <t>Ananya Verma</t>
  </si>
  <si>
    <t>ORD-02247</t>
  </si>
  <si>
    <t>CUST68290</t>
  </si>
  <si>
    <t>Karan Kapoor</t>
  </si>
  <si>
    <t>ORD-00966</t>
  </si>
  <si>
    <t>CUST15832</t>
  </si>
  <si>
    <t>Aarav Pillai</t>
  </si>
  <si>
    <t>Kolkata</t>
  </si>
  <si>
    <t>ORD-00879</t>
  </si>
  <si>
    <t>CUST52790</t>
  </si>
  <si>
    <t>ORD-01339</t>
  </si>
  <si>
    <t>CUST94587</t>
  </si>
  <si>
    <t>ORD-03248</t>
  </si>
  <si>
    <t>CUST43818</t>
  </si>
  <si>
    <t>ORD-00099</t>
  </si>
  <si>
    <t>CUST15599</t>
  </si>
  <si>
    <t>ORD-00849</t>
  </si>
  <si>
    <t>CUST59483</t>
  </si>
  <si>
    <t>Smartwatch</t>
  </si>
  <si>
    <t>ORD-02850</t>
  </si>
  <si>
    <t>CUST30753</t>
  </si>
  <si>
    <t>ORD-03177</t>
  </si>
  <si>
    <t>CUST99258</t>
  </si>
  <si>
    <t>ORD-02058</t>
  </si>
  <si>
    <t>CUST44617</t>
  </si>
  <si>
    <t>ORD-03092</t>
  </si>
  <si>
    <t>CUST21970</t>
  </si>
  <si>
    <t>ORD-02241</t>
  </si>
  <si>
    <t>CUST64655</t>
  </si>
  <si>
    <t>ORD-01278</t>
  </si>
  <si>
    <t>CUST65126</t>
  </si>
  <si>
    <t>ORD-03281</t>
  </si>
  <si>
    <t>CUST21469</t>
  </si>
  <si>
    <t>ORD-00011</t>
  </si>
  <si>
    <t>CUST64950</t>
  </si>
  <si>
    <t>Hyderabad</t>
  </si>
  <si>
    <t>ORD-00058</t>
  </si>
  <si>
    <t>CUST60127</t>
  </si>
  <si>
    <t>ORD-02876</t>
  </si>
  <si>
    <t>CUST23195</t>
  </si>
  <si>
    <t>ORD-02210</t>
  </si>
  <si>
    <t>CUST53700</t>
  </si>
  <si>
    <t>ORD-01057</t>
  </si>
  <si>
    <t>CUST83911</t>
  </si>
  <si>
    <t>ORD-02900</t>
  </si>
  <si>
    <t>CUST23268</t>
  </si>
  <si>
    <t>ORD-04048</t>
  </si>
  <si>
    <t>CUST20477</t>
  </si>
  <si>
    <t>ORD-00402</t>
  </si>
  <si>
    <t>CUST55018</t>
  </si>
  <si>
    <t>ORD-01747</t>
  </si>
  <si>
    <t>CUST14531</t>
  </si>
  <si>
    <t>ORD-00593</t>
  </si>
  <si>
    <t>CUST21963</t>
  </si>
  <si>
    <t>ORD-04017</t>
  </si>
  <si>
    <t>CUST02198</t>
  </si>
  <si>
    <t>ORD-02956</t>
  </si>
  <si>
    <t>CUST64061</t>
  </si>
  <si>
    <t>ORD-00634</t>
  </si>
  <si>
    <t>CUST01277</t>
  </si>
  <si>
    <t>ORD-03084</t>
  </si>
  <si>
    <t>CUST97761</t>
  </si>
  <si>
    <t>ORD-01699</t>
  </si>
  <si>
    <t>CUST22943</t>
  </si>
  <si>
    <t>ORD-01353</t>
  </si>
  <si>
    <t>CUST45393</t>
  </si>
  <si>
    <t>ORD-02391</t>
  </si>
  <si>
    <t>CUST63245</t>
  </si>
  <si>
    <t>ORD-00729</t>
  </si>
  <si>
    <t>CUST88249</t>
  </si>
  <si>
    <t>ORD-03692</t>
  </si>
  <si>
    <t>CUST93738</t>
  </si>
  <si>
    <t>ORD-01385</t>
  </si>
  <si>
    <t>CUST85642</t>
  </si>
  <si>
    <t>ORD-02434</t>
  </si>
  <si>
    <t>CUST85190</t>
  </si>
  <si>
    <t>ORD-00158</t>
  </si>
  <si>
    <t>CUST56042</t>
  </si>
  <si>
    <t>ORD-00857</t>
  </si>
  <si>
    <t>CUST59535</t>
  </si>
  <si>
    <t>ORD-03406</t>
  </si>
  <si>
    <t>CUST62905</t>
  </si>
  <si>
    <t>ORD-02843</t>
  </si>
  <si>
    <t>CUST04791</t>
  </si>
  <si>
    <t>ORD-01014</t>
  </si>
  <si>
    <t>CUST62653</t>
  </si>
  <si>
    <t>ORD-02991</t>
  </si>
  <si>
    <t>19/07/2023</t>
  </si>
  <si>
    <t>CUST01027</t>
  </si>
  <si>
    <t>Rice (5kg)</t>
  </si>
  <si>
    <t>ORD-01087</t>
  </si>
  <si>
    <t>CUST29357</t>
  </si>
  <si>
    <t>ORD-00943</t>
  </si>
  <si>
    <t>CUST48937</t>
  </si>
  <si>
    <t>ORD-03731</t>
  </si>
  <si>
    <t>CUST46976</t>
  </si>
  <si>
    <t>ORD-02485</t>
  </si>
  <si>
    <t>CUST69585</t>
  </si>
  <si>
    <t>ORD-02773</t>
  </si>
  <si>
    <t>CUST69945</t>
  </si>
  <si>
    <t>ORD-01093</t>
  </si>
  <si>
    <t>CUST80149</t>
  </si>
  <si>
    <t>ORD-00101</t>
  </si>
  <si>
    <t>CUST45487</t>
  </si>
  <si>
    <t>ORD-03804</t>
  </si>
  <si>
    <t>CUST42902</t>
  </si>
  <si>
    <t>ORD-02873</t>
  </si>
  <si>
    <t>CUST07917</t>
  </si>
  <si>
    <t>ORD-03342</t>
  </si>
  <si>
    <t>CUST26677</t>
  </si>
  <si>
    <t>Tea</t>
  </si>
  <si>
    <t>ORD-04177</t>
  </si>
  <si>
    <t>CUST44560</t>
  </si>
  <si>
    <t>ORD-02805</t>
  </si>
  <si>
    <t>CUST85937</t>
  </si>
  <si>
    <t>ORD-00918</t>
  </si>
  <si>
    <t>CUST67405</t>
  </si>
  <si>
    <t>ORD-00759</t>
  </si>
  <si>
    <t>CUST23197</t>
  </si>
  <si>
    <t>ORD-00086</t>
  </si>
  <si>
    <t>CUST63884</t>
  </si>
  <si>
    <t>ORD-00793</t>
  </si>
  <si>
    <t>CUST49838</t>
  </si>
  <si>
    <t>Flour</t>
  </si>
  <si>
    <t>ORD-01894</t>
  </si>
  <si>
    <t>CUST28783</t>
  </si>
  <si>
    <t>Perfume</t>
  </si>
  <si>
    <t>ORD-04109</t>
  </si>
  <si>
    <t>CUST36614</t>
  </si>
  <si>
    <t>ORD-02963</t>
  </si>
  <si>
    <t>CUST21979</t>
  </si>
  <si>
    <t>ORD-02212</t>
  </si>
  <si>
    <t>CUST44717</t>
  </si>
  <si>
    <t>ORD-02836</t>
  </si>
  <si>
    <t>CUST76017</t>
  </si>
  <si>
    <t>ORD-00409</t>
  </si>
  <si>
    <t>CUST97162</t>
  </si>
  <si>
    <t>ORD-00528</t>
  </si>
  <si>
    <t>CUST94563</t>
  </si>
  <si>
    <t>ORD-00268</t>
  </si>
  <si>
    <t>CUST64785</t>
  </si>
  <si>
    <t>ORD-02778</t>
  </si>
  <si>
    <t>CUST21931</t>
  </si>
  <si>
    <t>ORD-00948</t>
  </si>
  <si>
    <t>CUST85939</t>
  </si>
  <si>
    <t>ORD-03678</t>
  </si>
  <si>
    <t>CUST45890</t>
  </si>
  <si>
    <t>ORD-01310</t>
  </si>
  <si>
    <t>CUST84751</t>
  </si>
  <si>
    <t>Yoga Mat</t>
  </si>
  <si>
    <t>ORD-00672</t>
  </si>
  <si>
    <t>CUST71562</t>
  </si>
  <si>
    <t>ORD-04060</t>
  </si>
  <si>
    <t>CUST99521</t>
  </si>
  <si>
    <t>ORD-01996</t>
  </si>
  <si>
    <t>CUST48253</t>
  </si>
  <si>
    <t>ORD-01584</t>
  </si>
  <si>
    <t>CUST51398</t>
  </si>
  <si>
    <t>ORD-01026</t>
  </si>
  <si>
    <t>CUST78889</t>
  </si>
  <si>
    <t>ORD-03309</t>
  </si>
  <si>
    <t>CUST44030</t>
  </si>
  <si>
    <t>ORD-01973</t>
  </si>
  <si>
    <t>CUST45923</t>
  </si>
  <si>
    <t>ORD-03390</t>
  </si>
  <si>
    <t>CUST51656</t>
  </si>
  <si>
    <t>ORD-00540</t>
  </si>
  <si>
    <t>CUST59198</t>
  </si>
  <si>
    <t>ORD-01905</t>
  </si>
  <si>
    <t>CUST28422</t>
  </si>
  <si>
    <t>ORD-00422</t>
  </si>
  <si>
    <t>CUST44523</t>
  </si>
  <si>
    <t>ORD-03365</t>
  </si>
  <si>
    <t>CUST03410</t>
  </si>
  <si>
    <t>Smartphone</t>
  </si>
  <si>
    <t>ORD-02069</t>
  </si>
  <si>
    <t>CUST03769</t>
  </si>
  <si>
    <t>ORD-02723</t>
  </si>
  <si>
    <t>CUST08867</t>
  </si>
  <si>
    <t>ORD-00073</t>
  </si>
  <si>
    <t>CUST44662</t>
  </si>
  <si>
    <t>ORD-02497</t>
  </si>
  <si>
    <t>CUST57740</t>
  </si>
  <si>
    <t>ORD-03163</t>
  </si>
  <si>
    <t>CUST87976</t>
  </si>
  <si>
    <t>ORD-03997</t>
  </si>
  <si>
    <t>CUST57164</t>
  </si>
  <si>
    <t>ORD-02268</t>
  </si>
  <si>
    <t>CUST89600</t>
  </si>
  <si>
    <t>ORD-01535</t>
  </si>
  <si>
    <t>CUST92130</t>
  </si>
  <si>
    <t>ORD-02522</t>
  </si>
  <si>
    <t>CUST79852</t>
  </si>
  <si>
    <t>ORD-02356</t>
  </si>
  <si>
    <t>CUST40158</t>
  </si>
  <si>
    <t>ORD-03607</t>
  </si>
  <si>
    <t>CUST69333</t>
  </si>
  <si>
    <t>ORD-01868</t>
  </si>
  <si>
    <t>CUST05359</t>
  </si>
  <si>
    <t>ORD-00888</t>
  </si>
  <si>
    <t>CUST27547</t>
  </si>
  <si>
    <t>ORD-01208</t>
  </si>
  <si>
    <t>CUST72453</t>
  </si>
  <si>
    <t>ORD-02771</t>
  </si>
  <si>
    <t>CUST00213</t>
  </si>
  <si>
    <t>ORD-00591</t>
  </si>
  <si>
    <t>CUST49777</t>
  </si>
  <si>
    <t>ORD-03777</t>
  </si>
  <si>
    <t>CUST77207</t>
  </si>
  <si>
    <t>ORD-03456</t>
  </si>
  <si>
    <t>CUST58295</t>
  </si>
  <si>
    <t>ORD-03788</t>
  </si>
  <si>
    <t>CUST59409</t>
  </si>
  <si>
    <t>Biography</t>
  </si>
  <si>
    <t>ORD-01031</t>
  </si>
  <si>
    <t>CUST25835</t>
  </si>
  <si>
    <t>ORD-03205</t>
  </si>
  <si>
    <t>18/10/2023</t>
  </si>
  <si>
    <t>CUST12676</t>
  </si>
  <si>
    <t>ORD-03330</t>
  </si>
  <si>
    <t>CUST18271</t>
  </si>
  <si>
    <t>ORD-03149</t>
  </si>
  <si>
    <t>CUST52921</t>
  </si>
  <si>
    <t>ORD-00490</t>
  </si>
  <si>
    <t>CUST00642</t>
  </si>
  <si>
    <t>ORD-00653</t>
  </si>
  <si>
    <t>CUST35559</t>
  </si>
  <si>
    <t>ORD-01457</t>
  </si>
  <si>
    <t>CUST96946</t>
  </si>
  <si>
    <t>ORD-03779</t>
  </si>
  <si>
    <t>CUST68889</t>
  </si>
  <si>
    <t>ORD-01596</t>
  </si>
  <si>
    <t>CUST72370</t>
  </si>
  <si>
    <t>ORD-00928</t>
  </si>
  <si>
    <t>CUST88225</t>
  </si>
  <si>
    <t>ORD-00710</t>
  </si>
  <si>
    <t>CUST57843</t>
  </si>
  <si>
    <t>ORD-03999</t>
  </si>
  <si>
    <t>CUST81465</t>
  </si>
  <si>
    <t>ORD-01536</t>
  </si>
  <si>
    <t>CUST55972</t>
  </si>
  <si>
    <t>ORD-03376</t>
  </si>
  <si>
    <t>CUST86469</t>
  </si>
  <si>
    <t>ORD-00542</t>
  </si>
  <si>
    <t>CUST19508</t>
  </si>
  <si>
    <t>ORD-00273</t>
  </si>
  <si>
    <t>CUST92554</t>
  </si>
  <si>
    <t>ORD-03823</t>
  </si>
  <si>
    <t>CUST65889</t>
  </si>
  <si>
    <t>ORD-02004</t>
  </si>
  <si>
    <t>CUST71669</t>
  </si>
  <si>
    <t>ORD-04015</t>
  </si>
  <si>
    <t>CUST50530</t>
  </si>
  <si>
    <t>ORD-01540</t>
  </si>
  <si>
    <t>CUST28110</t>
  </si>
  <si>
    <t>ORD-03094</t>
  </si>
  <si>
    <t>CUST98803</t>
  </si>
  <si>
    <t>ORD-03859</t>
  </si>
  <si>
    <t>CUST22956</t>
  </si>
  <si>
    <t>ORD-01861</t>
  </si>
  <si>
    <t>CUST08538</t>
  </si>
  <si>
    <t>ORD-02147</t>
  </si>
  <si>
    <t>CUST10089</t>
  </si>
  <si>
    <t>ORD-03452</t>
  </si>
  <si>
    <t>CUST47815</t>
  </si>
  <si>
    <t>ORD-01640</t>
  </si>
  <si>
    <t>CUST78194</t>
  </si>
  <si>
    <t>ORD-02680</t>
  </si>
  <si>
    <t>CUST75386</t>
  </si>
  <si>
    <t>ORD-03902</t>
  </si>
  <si>
    <t>CUST28307</t>
  </si>
  <si>
    <t>ORD-03310</t>
  </si>
  <si>
    <t>CUST44114</t>
  </si>
  <si>
    <t>ORD-00280</t>
  </si>
  <si>
    <t>CUST00544</t>
  </si>
  <si>
    <t>ORD-03732</t>
  </si>
  <si>
    <t>CUST93241</t>
  </si>
  <si>
    <t>ORD-01188</t>
  </si>
  <si>
    <t>CUST64503</t>
  </si>
  <si>
    <t>ORD-02746</t>
  </si>
  <si>
    <t>CUST71887</t>
  </si>
  <si>
    <t>ORD-02871</t>
  </si>
  <si>
    <t>CUST88518</t>
  </si>
  <si>
    <t>ORD-03298</t>
  </si>
  <si>
    <t>CUST82100</t>
  </si>
  <si>
    <t>ORD-00693</t>
  </si>
  <si>
    <t>CUST90563</t>
  </si>
  <si>
    <t>ORD-02945</t>
  </si>
  <si>
    <t>CUST19434</t>
  </si>
  <si>
    <t>ORD-00291</t>
  </si>
  <si>
    <t>CUST36091</t>
  </si>
  <si>
    <t>ORD-02931</t>
  </si>
  <si>
    <t>CUST81737</t>
  </si>
  <si>
    <t>Shampoo</t>
  </si>
  <si>
    <t>ORD-00530</t>
  </si>
  <si>
    <t>CUST91144</t>
  </si>
  <si>
    <t>ORD-01920</t>
  </si>
  <si>
    <t>CUST28329</t>
  </si>
  <si>
    <t>ORD-04004</t>
  </si>
  <si>
    <t>CUST45019</t>
  </si>
  <si>
    <t>ORD-02861</t>
  </si>
  <si>
    <t>CUST53780</t>
  </si>
  <si>
    <t>ORD-00403</t>
  </si>
  <si>
    <t>CUST52549</t>
  </si>
  <si>
    <t>ORD-03741</t>
  </si>
  <si>
    <t>CUST11870</t>
  </si>
  <si>
    <t>ORD-03172</t>
  </si>
  <si>
    <t>CUST73615</t>
  </si>
  <si>
    <t>ORD-00749</t>
  </si>
  <si>
    <t>CUST43010</t>
  </si>
  <si>
    <t>ORD-00053</t>
  </si>
  <si>
    <t>CUST07190</t>
  </si>
  <si>
    <t>ORD-01418</t>
  </si>
  <si>
    <t>CUST26109</t>
  </si>
  <si>
    <t>cancelled</t>
  </si>
  <si>
    <t>ORD-03527</t>
  </si>
  <si>
    <t>CUST89020</t>
  </si>
  <si>
    <t>ORD-02382</t>
  </si>
  <si>
    <t>CUST54015</t>
  </si>
  <si>
    <t>ORD-00601</t>
  </si>
  <si>
    <t>CUST39660</t>
  </si>
  <si>
    <t>ORD-00339</t>
  </si>
  <si>
    <t>CUST65020</t>
  </si>
  <si>
    <t>ORD-02825</t>
  </si>
  <si>
    <t>CUST40911</t>
  </si>
  <si>
    <t>ORD-01292</t>
  </si>
  <si>
    <t>CUST14859</t>
  </si>
  <si>
    <t>ORD-03394</t>
  </si>
  <si>
    <t>CUST94721</t>
  </si>
  <si>
    <t>ORD-03486</t>
  </si>
  <si>
    <t>CUST56798</t>
  </si>
  <si>
    <t>ORD-03191</t>
  </si>
  <si>
    <t>CUST15190</t>
  </si>
  <si>
    <t>ORD-00183</t>
  </si>
  <si>
    <t>CUST16395</t>
  </si>
  <si>
    <t>ORD-02779</t>
  </si>
  <si>
    <t>CUST66673</t>
  </si>
  <si>
    <t>ORD-01224</t>
  </si>
  <si>
    <t>CUST34079</t>
  </si>
  <si>
    <t>ORD-03282</t>
  </si>
  <si>
    <t>CUST30266</t>
  </si>
  <si>
    <t>ORD-03259</t>
  </si>
  <si>
    <t>CUST28855</t>
  </si>
  <si>
    <t>ORD-00458</t>
  </si>
  <si>
    <t>CUST53954</t>
  </si>
  <si>
    <t>ORD-02316</t>
  </si>
  <si>
    <t>CUST62789</t>
  </si>
  <si>
    <t>ORD-02007</t>
  </si>
  <si>
    <t>CUST96054</t>
  </si>
  <si>
    <t>ORD-02400</t>
  </si>
  <si>
    <t>CUST21465</t>
  </si>
  <si>
    <t>ORD-02972</t>
  </si>
  <si>
    <t>CUST95419</t>
  </si>
  <si>
    <t>ORD-03622</t>
  </si>
  <si>
    <t>CUST32129</t>
  </si>
  <si>
    <t>ORD-00200</t>
  </si>
  <si>
    <t>CUST79644</t>
  </si>
  <si>
    <t>ORD-04057</t>
  </si>
  <si>
    <t>CUST95307</t>
  </si>
  <si>
    <t>ORD-02618</t>
  </si>
  <si>
    <t>CUST54344</t>
  </si>
  <si>
    <t>ORD-02742</t>
  </si>
  <si>
    <t>CUST34359</t>
  </si>
  <si>
    <t>ORD-01568</t>
  </si>
  <si>
    <t>CUST42665</t>
  </si>
  <si>
    <t>ORD-02757</t>
  </si>
  <si>
    <t>CUST97559</t>
  </si>
  <si>
    <t>ORD-00881</t>
  </si>
  <si>
    <t>CUST31073</t>
  </si>
  <si>
    <t>ORD-01700</t>
  </si>
  <si>
    <t>CUST75005</t>
  </si>
  <si>
    <t>ORD-00751</t>
  </si>
  <si>
    <t>CUST41385</t>
  </si>
  <si>
    <t>ORD-01788</t>
  </si>
  <si>
    <t>CUST10753</t>
  </si>
  <si>
    <t>ORD-00262</t>
  </si>
  <si>
    <t>CUST33827</t>
  </si>
  <si>
    <t>ORD-04086</t>
  </si>
  <si>
    <t>CUST69304</t>
  </si>
  <si>
    <t>ORD-03415</t>
  </si>
  <si>
    <t>CUST23737</t>
  </si>
  <si>
    <t>ORD-01693</t>
  </si>
  <si>
    <t>CUST37446</t>
  </si>
  <si>
    <t>ORD-02495</t>
  </si>
  <si>
    <t>CUST29148</t>
  </si>
  <si>
    <t>ORD-02508</t>
  </si>
  <si>
    <t>CUST55151</t>
  </si>
  <si>
    <t>ORD-02734</t>
  </si>
  <si>
    <t>CUST69340</t>
  </si>
  <si>
    <t>ORD-01872</t>
  </si>
  <si>
    <t>CUST60962</t>
  </si>
  <si>
    <t>ORD-01233</t>
  </si>
  <si>
    <t>CUST64805</t>
  </si>
  <si>
    <t>ORD-00752</t>
  </si>
  <si>
    <t>CUST76726</t>
  </si>
  <si>
    <t>ORD-00038</t>
  </si>
  <si>
    <t>CUST79223</t>
  </si>
  <si>
    <t>ORD-00994</t>
  </si>
  <si>
    <t>CUST13598</t>
  </si>
  <si>
    <t>ORD-00436</t>
  </si>
  <si>
    <t>CUST18887</t>
  </si>
  <si>
    <t>ORD-00923</t>
  </si>
  <si>
    <t>CUST41859</t>
  </si>
  <si>
    <t>ORD-03838</t>
  </si>
  <si>
    <t>CUST12042</t>
  </si>
  <si>
    <t>ORD-04035</t>
  </si>
  <si>
    <t>CUST10272</t>
  </si>
  <si>
    <t>ORD-04090</t>
  </si>
  <si>
    <t>CUST31562</t>
  </si>
  <si>
    <t>ORD-02193</t>
  </si>
  <si>
    <t>CUST54369</t>
  </si>
  <si>
    <t>ORD-03275</t>
  </si>
  <si>
    <t>CUST06690</t>
  </si>
  <si>
    <t>ORD-01237</t>
  </si>
  <si>
    <t>CUST86703</t>
  </si>
  <si>
    <t>ORD-03401</t>
  </si>
  <si>
    <t>CUST97545</t>
  </si>
  <si>
    <t>ORD-04160</t>
  </si>
  <si>
    <t>CUST91116</t>
  </si>
  <si>
    <t>ORD-01192</t>
  </si>
  <si>
    <t>CUST39249</t>
  </si>
  <si>
    <t>ORD-01195</t>
  </si>
  <si>
    <t>CUST26595</t>
  </si>
  <si>
    <t>ORD-01212</t>
  </si>
  <si>
    <t>CUST22983</t>
  </si>
  <si>
    <t>ORD-00170</t>
  </si>
  <si>
    <t>CUST53622</t>
  </si>
  <si>
    <t>ORD-01213</t>
  </si>
  <si>
    <t>CUST54226</t>
  </si>
  <si>
    <t>ORD-04115</t>
  </si>
  <si>
    <t>CUST88970</t>
  </si>
  <si>
    <t>ORD-03200</t>
  </si>
  <si>
    <t>CUST43688</t>
  </si>
  <si>
    <t>ORD-00713</t>
  </si>
  <si>
    <t>CUST97013</t>
  </si>
  <si>
    <t>ORD-00975</t>
  </si>
  <si>
    <t>CUST76263</t>
  </si>
  <si>
    <t>ORD-01391</t>
  </si>
  <si>
    <t>CUST53724</t>
  </si>
  <si>
    <t>ORD-02467</t>
  </si>
  <si>
    <t>CUST34028</t>
  </si>
  <si>
    <t>ORD-02390</t>
  </si>
  <si>
    <t>CUST38274</t>
  </si>
  <si>
    <t>ORD-01111</t>
  </si>
  <si>
    <t>CUST07335</t>
  </si>
  <si>
    <t>ORD-02171</t>
  </si>
  <si>
    <t>CUST77492</t>
  </si>
  <si>
    <t>ORD-01824</t>
  </si>
  <si>
    <t>CUST58449</t>
  </si>
  <si>
    <t>ORD-02834</t>
  </si>
  <si>
    <t>CUST80957</t>
  </si>
  <si>
    <t>ORD-03900</t>
  </si>
  <si>
    <t>CUST14119</t>
  </si>
  <si>
    <t>ORD-02550</t>
  </si>
  <si>
    <t>CUST69130</t>
  </si>
  <si>
    <t>ORD-02192</t>
  </si>
  <si>
    <t>CUST61790</t>
  </si>
  <si>
    <t>ORD-02000</t>
  </si>
  <si>
    <t>CUST60137</t>
  </si>
  <si>
    <t>ORD-03042</t>
  </si>
  <si>
    <t>CUST48817</t>
  </si>
  <si>
    <t>ORD-03399</t>
  </si>
  <si>
    <t>CUST76705</t>
  </si>
  <si>
    <t>ORD-01991</t>
  </si>
  <si>
    <t>CUST25027</t>
  </si>
  <si>
    <t>ORD-00322</t>
  </si>
  <si>
    <t>CUST34894</t>
  </si>
  <si>
    <t>ORD-04049</t>
  </si>
  <si>
    <t>CUST98496</t>
  </si>
  <si>
    <t>ORD-02187</t>
  </si>
  <si>
    <t>CUST47298</t>
  </si>
  <si>
    <t>ORD-03703</t>
  </si>
  <si>
    <t>CUST91203</t>
  </si>
  <si>
    <t>ORD-01312</t>
  </si>
  <si>
    <t>CUST22985</t>
  </si>
  <si>
    <t>ORD-00797</t>
  </si>
  <si>
    <t>CUST04732</t>
  </si>
  <si>
    <t>ORD-00034</t>
  </si>
  <si>
    <t>CUST21613</t>
  </si>
  <si>
    <t>ORD-02663</t>
  </si>
  <si>
    <t>CUST82371</t>
  </si>
  <si>
    <t>ORD-01907</t>
  </si>
  <si>
    <t>CUST58083</t>
  </si>
  <si>
    <t>ORD-00766</t>
  </si>
  <si>
    <t>CUST94306</t>
  </si>
  <si>
    <t>ORD-03824</t>
  </si>
  <si>
    <t>CUST13500</t>
  </si>
  <si>
    <t>ORD-03029</t>
  </si>
  <si>
    <t>CUST15879</t>
  </si>
  <si>
    <t>ORD-02801</t>
  </si>
  <si>
    <t>CUST13741</t>
  </si>
  <si>
    <t>ORD-03014</t>
  </si>
  <si>
    <t>CUST35539</t>
  </si>
  <si>
    <t>ORD-01318</t>
  </si>
  <si>
    <t>CUST59067</t>
  </si>
  <si>
    <t>ORD-03603</t>
  </si>
  <si>
    <t>CUST16934</t>
  </si>
  <si>
    <t>ORD-01221</t>
  </si>
  <si>
    <t>CUST24791</t>
  </si>
  <si>
    <t>ORD-02947</t>
  </si>
  <si>
    <t>CUST85761</t>
  </si>
  <si>
    <t>ORD-02635</t>
  </si>
  <si>
    <t>CUST74282</t>
  </si>
  <si>
    <t>ORD-02030</t>
  </si>
  <si>
    <t>CUST98295</t>
  </si>
  <si>
    <t>ORD-02150</t>
  </si>
  <si>
    <t>CUST80481</t>
  </si>
  <si>
    <t>ORD-01826</t>
  </si>
  <si>
    <t>CUST42492</t>
  </si>
  <si>
    <t>ORD-03667</t>
  </si>
  <si>
    <t>CUST95748</t>
  </si>
  <si>
    <t>ORD-03993</t>
  </si>
  <si>
    <t>CUST65197</t>
  </si>
  <si>
    <t>ORD-02332</t>
  </si>
  <si>
    <t>CUST15721</t>
  </si>
  <si>
    <t>ORD-02774</t>
  </si>
  <si>
    <t>CUST92472</t>
  </si>
  <si>
    <t>ORD-03017</t>
  </si>
  <si>
    <t>CUST11433</t>
  </si>
  <si>
    <t>ORD-01712</t>
  </si>
  <si>
    <t>CUST49015</t>
  </si>
  <si>
    <t>ORD-00337</t>
  </si>
  <si>
    <t>CUST25152</t>
  </si>
  <si>
    <t>ORD-03207</t>
  </si>
  <si>
    <t>CUST72297</t>
  </si>
  <si>
    <t>ORD-00354</t>
  </si>
  <si>
    <t>CUST12677</t>
  </si>
  <si>
    <t>ORD-00837</t>
  </si>
  <si>
    <t>CUST71096</t>
  </si>
  <si>
    <t>ORD-02607</t>
  </si>
  <si>
    <t>CUST31900</t>
  </si>
  <si>
    <t>ORD-00727</t>
  </si>
  <si>
    <t>CUST39869</t>
  </si>
  <si>
    <t>ORD-02529</t>
  </si>
  <si>
    <t>CUST61216</t>
  </si>
  <si>
    <t>ORD-03018</t>
  </si>
  <si>
    <t>CUST13941</t>
  </si>
  <si>
    <t>ORD-01841</t>
  </si>
  <si>
    <t>CUST02321</t>
  </si>
  <si>
    <t>ORD-02858</t>
  </si>
  <si>
    <t>28/05/2023</t>
  </si>
  <si>
    <t>CUST34534</t>
  </si>
  <si>
    <t>ORD-04176</t>
  </si>
  <si>
    <t>CUST37046</t>
  </si>
  <si>
    <t>ORD-03609</t>
  </si>
  <si>
    <t>CUST45693</t>
  </si>
  <si>
    <t>ORD-00559</t>
  </si>
  <si>
    <t>CUST34558</t>
  </si>
  <si>
    <t>ORD-01775</t>
  </si>
  <si>
    <t>CUST42783</t>
  </si>
  <si>
    <t>ORD-02870</t>
  </si>
  <si>
    <t>CUST15861</t>
  </si>
  <si>
    <t>ORD-00130</t>
  </si>
  <si>
    <t>CUST73625</t>
  </si>
  <si>
    <t>ORD-02188</t>
  </si>
  <si>
    <t>CUST93685</t>
  </si>
  <si>
    <t>ORD-02807</t>
  </si>
  <si>
    <t>CUST59711</t>
  </si>
  <si>
    <t>ORD-01201</t>
  </si>
  <si>
    <t>CUST00543</t>
  </si>
  <si>
    <t>ORD-03976</t>
  </si>
  <si>
    <t>CUST72202</t>
  </si>
  <si>
    <t>ORD-03674</t>
  </si>
  <si>
    <t>CUST71549</t>
  </si>
  <si>
    <t>ORD-00982</t>
  </si>
  <si>
    <t>CUST31894</t>
  </si>
  <si>
    <t>ORD-00485</t>
  </si>
  <si>
    <t>CUST67381</t>
  </si>
  <si>
    <t>ORD-03297</t>
  </si>
  <si>
    <t>CUST29713</t>
  </si>
  <si>
    <t>ORD-04137</t>
  </si>
  <si>
    <t>CUST62051</t>
  </si>
  <si>
    <t>ORD-02163</t>
  </si>
  <si>
    <t>CUST72247</t>
  </si>
  <si>
    <t>ORD-02445</t>
  </si>
  <si>
    <t>CUST71240</t>
  </si>
  <si>
    <t>ORD-00767</t>
  </si>
  <si>
    <t>CUST99682</t>
  </si>
  <si>
    <t>ORD-00629</t>
  </si>
  <si>
    <t>CUST51786</t>
  </si>
  <si>
    <t>ORD-00701</t>
  </si>
  <si>
    <t>CUST90688</t>
  </si>
  <si>
    <t>ORD-00439</t>
  </si>
  <si>
    <t>CUST45071</t>
  </si>
  <si>
    <t>ORD-00132</t>
  </si>
  <si>
    <t>CUST20387</t>
  </si>
  <si>
    <t>ORD-00343</t>
  </si>
  <si>
    <t>28/05/2020</t>
  </si>
  <si>
    <t>CUST91659</t>
  </si>
  <si>
    <t>ORD-02362</t>
  </si>
  <si>
    <t>CUST09796</t>
  </si>
  <si>
    <t>ORD-01138</t>
  </si>
  <si>
    <t>CUST65692</t>
  </si>
  <si>
    <t>ORD-03480</t>
  </si>
  <si>
    <t>CUST61945</t>
  </si>
  <si>
    <t>ORD-02011</t>
  </si>
  <si>
    <t>CUST67385</t>
  </si>
  <si>
    <t>ORD-03217</t>
  </si>
  <si>
    <t>CUST14537</t>
  </si>
  <si>
    <t>ORD-02921</t>
  </si>
  <si>
    <t>CUST51781</t>
  </si>
  <si>
    <t>ORD-01303</t>
  </si>
  <si>
    <t>CUST71873</t>
  </si>
  <si>
    <t>ORD-01463</t>
  </si>
  <si>
    <t>CUST80946</t>
  </si>
  <si>
    <t>ORD-02411</t>
  </si>
  <si>
    <t>CUST04556</t>
  </si>
  <si>
    <t>ORD-02048</t>
  </si>
  <si>
    <t>CUST98440</t>
  </si>
  <si>
    <t>ORD-02047</t>
  </si>
  <si>
    <t>CUST63577</t>
  </si>
  <si>
    <t>ORD-00197</t>
  </si>
  <si>
    <t>CUST04223</t>
  </si>
  <si>
    <t>ORD-01595</t>
  </si>
  <si>
    <t>CUST89482</t>
  </si>
  <si>
    <t>ORD-00799</t>
  </si>
  <si>
    <t>CUST20881</t>
  </si>
  <si>
    <t>ORD-03920</t>
  </si>
  <si>
    <t>CUST20311</t>
  </si>
  <si>
    <t>ORD-01013</t>
  </si>
  <si>
    <t>CUST39675</t>
  </si>
  <si>
    <t>ORD-02295</t>
  </si>
  <si>
    <t>CUST16205</t>
  </si>
  <si>
    <t>ORD-00267</t>
  </si>
  <si>
    <t>CUST76356</t>
  </si>
  <si>
    <t>ORD-01704</t>
  </si>
  <si>
    <t>CUST33909</t>
  </si>
  <si>
    <t>ORD-01925</t>
  </si>
  <si>
    <t>CUST73689</t>
  </si>
  <si>
    <t>ORD-02748</t>
  </si>
  <si>
    <t>CUST72583</t>
  </si>
  <si>
    <t>ORD-00575</t>
  </si>
  <si>
    <t>CUST39101</t>
  </si>
  <si>
    <t>ORD-03873</t>
  </si>
  <si>
    <t>CUST07406</t>
  </si>
  <si>
    <t>ORD-02409</t>
  </si>
  <si>
    <t>CUST13324</t>
  </si>
  <si>
    <t>ORD-02610</t>
  </si>
  <si>
    <t>CUST96115</t>
  </si>
  <si>
    <t>ORD-00915</t>
  </si>
  <si>
    <t>CUST76268</t>
  </si>
  <si>
    <t>ORD-02705</t>
  </si>
  <si>
    <t>CUST85785</t>
  </si>
  <si>
    <t>ORD-01524</t>
  </si>
  <si>
    <t>CUST61294</t>
  </si>
  <si>
    <t>ORD-00597</t>
  </si>
  <si>
    <t>CUST03651</t>
  </si>
  <si>
    <t>ORD-04126</t>
  </si>
  <si>
    <t>CUST88649</t>
  </si>
  <si>
    <t>ORD-01289</t>
  </si>
  <si>
    <t>CUST60491</t>
  </si>
  <si>
    <t>ORD-01992</t>
  </si>
  <si>
    <t>CUST42274</t>
  </si>
  <si>
    <t>ORD-02690</t>
  </si>
  <si>
    <t>CUST42802</t>
  </si>
  <si>
    <t>ORD-02181</t>
  </si>
  <si>
    <t>CUST50045</t>
  </si>
  <si>
    <t>ORD-03851</t>
  </si>
  <si>
    <t>CUST24550</t>
  </si>
  <si>
    <t>ORD-00644</t>
  </si>
  <si>
    <t>CUST94203</t>
  </si>
  <si>
    <t>ORD-02923</t>
  </si>
  <si>
    <t>CUST62956</t>
  </si>
  <si>
    <t>ORD-01414</t>
  </si>
  <si>
    <t>CUST00909</t>
  </si>
  <si>
    <t>ORD-03126</t>
  </si>
  <si>
    <t>CUST84742</t>
  </si>
  <si>
    <t>ORD-00251</t>
  </si>
  <si>
    <t>CUST66007</t>
  </si>
  <si>
    <t>ORD-03006</t>
  </si>
  <si>
    <t>CUST96839</t>
  </si>
  <si>
    <t>ORD-01407</t>
  </si>
  <si>
    <t>CUST62870</t>
  </si>
  <si>
    <t>ORD-02313</t>
  </si>
  <si>
    <t>CUST66337</t>
  </si>
  <si>
    <t>ORD-01620</t>
  </si>
  <si>
    <t>ORD-00563</t>
  </si>
  <si>
    <t>CUST44323</t>
  </si>
  <si>
    <t>ORD-01940</t>
  </si>
  <si>
    <t>CUST29935</t>
  </si>
  <si>
    <t>ORD-00142</t>
  </si>
  <si>
    <t>CUST82516</t>
  </si>
  <si>
    <t>ORD-03035</t>
  </si>
  <si>
    <t>CUST76199</t>
  </si>
  <si>
    <t>ORD-04095</t>
  </si>
  <si>
    <t>CUST78442</t>
  </si>
  <si>
    <t>ORD-03088</t>
  </si>
  <si>
    <t>CUST49151</t>
  </si>
  <si>
    <t>ORD-00283</t>
  </si>
  <si>
    <t>CUST17741</t>
  </si>
  <si>
    <t>ORD-01821</t>
  </si>
  <si>
    <t>CUST07773</t>
  </si>
  <si>
    <t>ORD-01627</t>
  </si>
  <si>
    <t>CUST42701</t>
  </si>
  <si>
    <t>ORD-02274</t>
  </si>
  <si>
    <t>CUST66737</t>
  </si>
  <si>
    <t>ORD-03211</t>
  </si>
  <si>
    <t>CUST59240</t>
  </si>
  <si>
    <t>ORD-02973</t>
  </si>
  <si>
    <t>CUST55824</t>
  </si>
  <si>
    <t>ORD-03131</t>
  </si>
  <si>
    <t>CUST60904</t>
  </si>
  <si>
    <t>ORD-01170</t>
  </si>
  <si>
    <t>CUST04051</t>
  </si>
  <si>
    <t>ORD-02153</t>
  </si>
  <si>
    <t>CUST05495</t>
  </si>
  <si>
    <t>ORD-02260</t>
  </si>
  <si>
    <t>CUST10492</t>
  </si>
  <si>
    <t>ORD-01363</t>
  </si>
  <si>
    <t>CUST15260</t>
  </si>
  <si>
    <t>ORD-01781</t>
  </si>
  <si>
    <t>CUST31446</t>
  </si>
  <si>
    <t>ORD-02812</t>
  </si>
  <si>
    <t>CUST82471</t>
  </si>
  <si>
    <t>ORD-04169</t>
  </si>
  <si>
    <t>CUST68700</t>
  </si>
  <si>
    <t>ORD-00384</t>
  </si>
  <si>
    <t>CUST60562</t>
  </si>
  <si>
    <t>ORD-03940</t>
  </si>
  <si>
    <t>CUST96355</t>
  </si>
  <si>
    <t>ORD-01059</t>
  </si>
  <si>
    <t>CUST64001</t>
  </si>
  <si>
    <t>ORD-03995</t>
  </si>
  <si>
    <t>CUST60857</t>
  </si>
  <si>
    <t>ORD-03729</t>
  </si>
  <si>
    <t>CUST27952</t>
  </si>
  <si>
    <t>ORD-03122</t>
  </si>
  <si>
    <t>CUST56458</t>
  </si>
  <si>
    <t>ORD-02176</t>
  </si>
  <si>
    <t>CUST51575</t>
  </si>
  <si>
    <t>ORD-01078</t>
  </si>
  <si>
    <t>CUST72966</t>
  </si>
  <si>
    <t>ORD-03959</t>
  </si>
  <si>
    <t>CUST64416</t>
  </si>
  <si>
    <t>ORD-02697</t>
  </si>
  <si>
    <t>CUST37138</t>
  </si>
  <si>
    <t>ORD-00270</t>
  </si>
  <si>
    <t>28/04/2020</t>
  </si>
  <si>
    <t>CUST73911</t>
  </si>
  <si>
    <t>ORD-02515</t>
  </si>
  <si>
    <t>CUST66205</t>
  </si>
  <si>
    <t>ORD-02735</t>
  </si>
  <si>
    <t>CUST60872</t>
  </si>
  <si>
    <t>ORD-01766</t>
  </si>
  <si>
    <t>CUST87890</t>
  </si>
  <si>
    <t>ORD-02707</t>
  </si>
  <si>
    <t>CUST97042</t>
  </si>
  <si>
    <t>ORD-00671</t>
  </si>
  <si>
    <t>CUST93387</t>
  </si>
  <si>
    <t>ORD-03931</t>
  </si>
  <si>
    <t>CUST94914</t>
  </si>
  <si>
    <t>ORD-04022</t>
  </si>
  <si>
    <t>CUST76630</t>
  </si>
  <si>
    <t>ORD-01721</t>
  </si>
  <si>
    <t>CUST05033</t>
  </si>
  <si>
    <t>ORD-03054</t>
  </si>
  <si>
    <t>CUST26906</t>
  </si>
  <si>
    <t>ORD-03543</t>
  </si>
  <si>
    <t>CUST14777</t>
  </si>
  <si>
    <t>ORD-02803</t>
  </si>
  <si>
    <t>CUST07347</t>
  </si>
  <si>
    <t>ORD-03231</t>
  </si>
  <si>
    <t>CUST88608</t>
  </si>
  <si>
    <t>ORD-02672</t>
  </si>
  <si>
    <t>CUST97216</t>
  </si>
  <si>
    <t>ORD-00232</t>
  </si>
  <si>
    <t>CUST30800</t>
  </si>
  <si>
    <t>ORD-00566</t>
  </si>
  <si>
    <t>CUST67628</t>
  </si>
  <si>
    <t>ORD-01174</t>
  </si>
  <si>
    <t>CUST88311</t>
  </si>
  <si>
    <t>ORD-00522</t>
  </si>
  <si>
    <t>CUST28496</t>
  </si>
  <si>
    <t>ORD-03797</t>
  </si>
  <si>
    <t>CUST19882</t>
  </si>
  <si>
    <t>ORD-04170</t>
  </si>
  <si>
    <t>CUST70820</t>
  </si>
  <si>
    <t>ORD-03327</t>
  </si>
  <si>
    <t>CUST05689</t>
  </si>
  <si>
    <t>ORD-03907</t>
  </si>
  <si>
    <t>CUST07299</t>
  </si>
  <si>
    <t>ORD-02613</t>
  </si>
  <si>
    <t>CUST69520</t>
  </si>
  <si>
    <t>ORD-04164</t>
  </si>
  <si>
    <t>CUST96903</t>
  </si>
  <si>
    <t>ORD-01065</t>
  </si>
  <si>
    <t>CUST39633</t>
  </si>
  <si>
    <t>ORD-00656</t>
  </si>
  <si>
    <t>CUST42875</t>
  </si>
  <si>
    <t>ORD-02588</t>
  </si>
  <si>
    <t>30/01/2023</t>
  </si>
  <si>
    <t>CUST71632</t>
  </si>
  <si>
    <t>ORD-00172</t>
  </si>
  <si>
    <t>CUST40704</t>
  </si>
  <si>
    <t>ORD-03479</t>
  </si>
  <si>
    <t>CUST39897</t>
  </si>
  <si>
    <t>ORD-03008</t>
  </si>
  <si>
    <t>CUST03875</t>
  </si>
  <si>
    <t>ORD-03519</t>
  </si>
  <si>
    <t>CUST89317</t>
  </si>
  <si>
    <t>ORD-01711</t>
  </si>
  <si>
    <t>CUST71903</t>
  </si>
  <si>
    <t>ORD-01731</t>
  </si>
  <si>
    <t>CUST81381</t>
  </si>
  <si>
    <t>ORD-02322</t>
  </si>
  <si>
    <t>CUST93809</t>
  </si>
  <si>
    <t>ORD-01659</t>
  </si>
  <si>
    <t>CUST72759</t>
  </si>
  <si>
    <t>ORD-02365</t>
  </si>
  <si>
    <t>CUST12074</t>
  </si>
  <si>
    <t>ORD-00115</t>
  </si>
  <si>
    <t>CUST05374</t>
  </si>
  <si>
    <t>ORD-01557</t>
  </si>
  <si>
    <t>29/11/2021</t>
  </si>
  <si>
    <t>CUST23869</t>
  </si>
  <si>
    <t>ORD-00800</t>
  </si>
  <si>
    <t>CUST77423</t>
  </si>
  <si>
    <t>ORD-00020</t>
  </si>
  <si>
    <t>CUST05879</t>
  </si>
  <si>
    <t>ORD-03912</t>
  </si>
  <si>
    <t>CUST72269</t>
  </si>
  <si>
    <t>ORD-04036</t>
  </si>
  <si>
    <t>CUST12279</t>
  </si>
  <si>
    <t>ORD-02381</t>
  </si>
  <si>
    <t>CUST35452</t>
  </si>
  <si>
    <t>ORD-01862</t>
  </si>
  <si>
    <t>CUST38887</t>
  </si>
  <si>
    <t>ORD-04033</t>
  </si>
  <si>
    <t>CUST01456</t>
  </si>
  <si>
    <t>ORD-04061</t>
  </si>
  <si>
    <t>CUST83988</t>
  </si>
  <si>
    <t>ORD-02662</t>
  </si>
  <si>
    <t>CUST02913</t>
  </si>
  <si>
    <t>ORD-01421</t>
  </si>
  <si>
    <t>CUST32538</t>
  </si>
  <si>
    <t>ORD-03373</t>
  </si>
  <si>
    <t>CUST23969</t>
  </si>
  <si>
    <t>ORD-02686</t>
  </si>
  <si>
    <t>CUST63976</t>
  </si>
  <si>
    <t>ORD-02630</t>
  </si>
  <si>
    <t>CUST21078</t>
  </si>
  <si>
    <t>ORD-01893</t>
  </si>
  <si>
    <t>CUST98008</t>
  </si>
  <si>
    <t>ORD-01702</t>
  </si>
  <si>
    <t>CUST81394</t>
  </si>
  <si>
    <t>ORD-00781</t>
  </si>
  <si>
    <t>CUST92097</t>
  </si>
  <si>
    <t>ORD-02838</t>
  </si>
  <si>
    <t>CUST32623</t>
  </si>
  <si>
    <t>ORD-00983</t>
  </si>
  <si>
    <t>CUST01477</t>
  </si>
  <si>
    <t>ORD-01403</t>
  </si>
  <si>
    <t>CUST02694</t>
  </si>
  <si>
    <t>ORD-03034</t>
  </si>
  <si>
    <t>CUST76477</t>
  </si>
  <si>
    <t>ORD-03420</t>
  </si>
  <si>
    <t>CUST83939</t>
  </si>
  <si>
    <t>ORD-02386</t>
  </si>
  <si>
    <t>CUST85891</t>
  </si>
  <si>
    <t>ORD-00379</t>
  </si>
  <si>
    <t>CUST57932</t>
  </si>
  <si>
    <t>ORD-00734</t>
  </si>
  <si>
    <t>CUST76439</t>
  </si>
  <si>
    <t>ORD-01911</t>
  </si>
  <si>
    <t>CUST11183</t>
  </si>
  <si>
    <t>ORD-02647</t>
  </si>
  <si>
    <t>CUST98321</t>
  </si>
  <si>
    <t>ORD-00664</t>
  </si>
  <si>
    <t>CUST76842</t>
  </si>
  <si>
    <t>ORD-00346</t>
  </si>
  <si>
    <t>CUST21580</t>
  </si>
  <si>
    <t>ORD-03434</t>
  </si>
  <si>
    <t>CUST36372</t>
  </si>
  <si>
    <t>ORD-02070</t>
  </si>
  <si>
    <t>CUST88932</t>
  </si>
  <si>
    <t>ORD-00495</t>
  </si>
  <si>
    <t>CUST95892</t>
  </si>
  <si>
    <t>ORD-01008</t>
  </si>
  <si>
    <t>CUST58835</t>
  </si>
  <si>
    <t>ORD-01435</t>
  </si>
  <si>
    <t>CUST41321</t>
  </si>
  <si>
    <t>ORD-03713</t>
  </si>
  <si>
    <t>CUST56250</t>
  </si>
  <si>
    <t>ORD-02022</t>
  </si>
  <si>
    <t>CUST15844</t>
  </si>
  <si>
    <t>ORD-00219</t>
  </si>
  <si>
    <t>CUST81881</t>
  </si>
  <si>
    <t>ORD-00138</t>
  </si>
  <si>
    <t>CUST54691</t>
  </si>
  <si>
    <t>ORD-02813</t>
  </si>
  <si>
    <t>CUST45426</t>
  </si>
  <si>
    <t>ORD-02397</t>
  </si>
  <si>
    <t>CUST53890</t>
  </si>
  <si>
    <t>ORD-00617</t>
  </si>
  <si>
    <t>CUST56731</t>
  </si>
  <si>
    <t>ORD-00973</t>
  </si>
  <si>
    <t>CUST18672</t>
  </si>
  <si>
    <t>ORD-03961</t>
  </si>
  <si>
    <t>CUST41469</t>
  </si>
  <si>
    <t>ORD-04195</t>
  </si>
  <si>
    <t>CUST13220</t>
  </si>
  <si>
    <t>ORD-03605</t>
  </si>
  <si>
    <t>CUST13355</t>
  </si>
  <si>
    <t>shipped</t>
  </si>
  <si>
    <t>ORD-01381</t>
  </si>
  <si>
    <t>CUST67856</t>
  </si>
  <si>
    <t>ORD-02719</t>
  </si>
  <si>
    <t>CUST07357</t>
  </si>
  <si>
    <t>ORD-00779</t>
  </si>
  <si>
    <t>CUST99814</t>
  </si>
  <si>
    <t>ORD-02925</t>
  </si>
  <si>
    <t>19/06/2023</t>
  </si>
  <si>
    <t>CUST97817</t>
  </si>
  <si>
    <t>ORD-04101</t>
  </si>
  <si>
    <t>CUST53114</t>
  </si>
  <si>
    <t>ORD-03749</t>
  </si>
  <si>
    <t>CUST71536</t>
  </si>
  <si>
    <t>ORD-01544</t>
  </si>
  <si>
    <t>CUST03481</t>
  </si>
  <si>
    <t>ORD-01040</t>
  </si>
  <si>
    <t>CUST99976</t>
  </si>
  <si>
    <t>ORD-01527</t>
  </si>
  <si>
    <t>CUST25719</t>
  </si>
  <si>
    <t>ORD-00164</t>
  </si>
  <si>
    <t>CUST97663</t>
  </si>
  <si>
    <t>ORD-02287</t>
  </si>
  <si>
    <t>CUST48005</t>
  </si>
  <si>
    <t>ORD-03296</t>
  </si>
  <si>
    <t>CUST49836</t>
  </si>
  <si>
    <t>ORD-02542</t>
  </si>
  <si>
    <t>CUST20603</t>
  </si>
  <si>
    <t>ORD-01038</t>
  </si>
  <si>
    <t>CUST91204</t>
  </si>
  <si>
    <t>ORD-00886</t>
  </si>
  <si>
    <t>CUST50029</t>
  </si>
  <si>
    <t>ORD-02510</t>
  </si>
  <si>
    <t>CUST29676</t>
  </si>
  <si>
    <t>ORD-03352</t>
  </si>
  <si>
    <t>CUST97209</t>
  </si>
  <si>
    <t>ORD-03714</t>
  </si>
  <si>
    <t>CUST48600</t>
  </si>
  <si>
    <t>ORD-00941</t>
  </si>
  <si>
    <t>CUST76016</t>
  </si>
  <si>
    <t>ORD-00669</t>
  </si>
  <si>
    <t>CUST66974</t>
  </si>
  <si>
    <t>ORD-02173</t>
  </si>
  <si>
    <t>CUST84895</t>
  </si>
  <si>
    <t>ORD-00737</t>
  </si>
  <si>
    <t>CUST84086</t>
  </si>
  <si>
    <t>ORD-02712</t>
  </si>
  <si>
    <t>CUST21655</t>
  </si>
  <si>
    <t>ORD-03079</t>
  </si>
  <si>
    <t>CUST74717</t>
  </si>
  <si>
    <t>ORD-00093</t>
  </si>
  <si>
    <t>CUST28742</t>
  </si>
  <si>
    <t>ORD-02847</t>
  </si>
  <si>
    <t>CUST62909</t>
  </si>
  <si>
    <t>ORD-02511</t>
  </si>
  <si>
    <t>CUST68061</t>
  </si>
  <si>
    <t>ORD-01066</t>
  </si>
  <si>
    <t>CUST14264</t>
  </si>
  <si>
    <t>ORD-03740</t>
  </si>
  <si>
    <t>18/06/2024</t>
  </si>
  <si>
    <t>CUST25398</t>
  </si>
  <si>
    <t>ORD-03053</t>
  </si>
  <si>
    <t>CUST70734</t>
  </si>
  <si>
    <t>ORD-03174</t>
  </si>
  <si>
    <t>CUST00106</t>
  </si>
  <si>
    <t>ORD-03942</t>
  </si>
  <si>
    <t>CUST76909</t>
  </si>
  <si>
    <t>ORD-00201</t>
  </si>
  <si>
    <t>CUST39806</t>
  </si>
  <si>
    <t>ORD-00582</t>
  </si>
  <si>
    <t>CUST42583</t>
  </si>
  <si>
    <t>ORD-00571</t>
  </si>
  <si>
    <t>CUST29775</t>
  </si>
  <si>
    <t>ORD-02281</t>
  </si>
  <si>
    <t>CUST68153</t>
  </si>
  <si>
    <t>ORD-02777</t>
  </si>
  <si>
    <t>CUST15930</t>
  </si>
  <si>
    <t>ORD-01949</t>
  </si>
  <si>
    <t>CUST55786</t>
  </si>
  <si>
    <t>ORD-01516</t>
  </si>
  <si>
    <t>CUST58345</t>
  </si>
  <si>
    <t>ORD-01425</t>
  </si>
  <si>
    <t>CUST22978</t>
  </si>
  <si>
    <t>ORD-02846</t>
  </si>
  <si>
    <t>CUST56492</t>
  </si>
  <si>
    <t>ORD-00619</t>
  </si>
  <si>
    <t>CUST73824</t>
  </si>
  <si>
    <t>ORD-02258</t>
  </si>
  <si>
    <t>CUST95281</t>
  </si>
  <si>
    <t>ORD-03441</t>
  </si>
  <si>
    <t>CUST02308</t>
  </si>
  <si>
    <t>ORD-01690</t>
  </si>
  <si>
    <t>CUST13726</t>
  </si>
  <si>
    <t>ORD-01139</t>
  </si>
  <si>
    <t>CUST11240</t>
  </si>
  <si>
    <t>ORD-02223</t>
  </si>
  <si>
    <t>CUST98444</t>
  </si>
  <si>
    <t>ORD-01042</t>
  </si>
  <si>
    <t>CUST52708</t>
  </si>
  <si>
    <t>ORD-00452</t>
  </si>
  <si>
    <t>CUST52335</t>
  </si>
  <si>
    <t>ORD-00028</t>
  </si>
  <si>
    <t>CUST03400</t>
  </si>
  <si>
    <t>ORD-03478</t>
  </si>
  <si>
    <t>CUST86909</t>
  </si>
  <si>
    <t>ORD-00350</t>
  </si>
  <si>
    <t>CUST72810</t>
  </si>
  <si>
    <t>ORD-02384</t>
  </si>
  <si>
    <t>CUST51225</t>
  </si>
  <si>
    <t>ORD-02052</t>
  </si>
  <si>
    <t>CUST10079</t>
  </si>
  <si>
    <t>ORD-01961</t>
  </si>
  <si>
    <t>CUST60023</t>
  </si>
  <si>
    <t>ORD-00404</t>
  </si>
  <si>
    <t>CUST02130</t>
  </si>
  <si>
    <t>ORD-00742</t>
  </si>
  <si>
    <t>CUST42571</t>
  </si>
  <si>
    <t>ORD-00317</t>
  </si>
  <si>
    <t>CUST52213</t>
  </si>
  <si>
    <t>ORD-02982</t>
  </si>
  <si>
    <t>CUST81628</t>
  </si>
  <si>
    <t>ORD-03440</t>
  </si>
  <si>
    <t>CUST60633</t>
  </si>
  <si>
    <t>ORD-00318</t>
  </si>
  <si>
    <t>CUST80292</t>
  </si>
  <si>
    <t>ORD-02292</t>
  </si>
  <si>
    <t>CUST08013</t>
  </si>
  <si>
    <t>ORD-04161</t>
  </si>
  <si>
    <t>CUST28262</t>
  </si>
  <si>
    <t>ORD-02099</t>
  </si>
  <si>
    <t>CUST13620</t>
  </si>
  <si>
    <t>ORD-00129</t>
  </si>
  <si>
    <t>CUST20302</t>
  </si>
  <si>
    <t>ORD-03339</t>
  </si>
  <si>
    <t>CUST29727</t>
  </si>
  <si>
    <t>ORD-02780</t>
  </si>
  <si>
    <t>CUST00961</t>
  </si>
  <si>
    <t>ORD-01597</t>
  </si>
  <si>
    <t>CUST58607</t>
  </si>
  <si>
    <t>ORD-02643</t>
  </si>
  <si>
    <t>CUST02524</t>
  </si>
  <si>
    <t>ORD-03637</t>
  </si>
  <si>
    <t>30/04/2024</t>
  </si>
  <si>
    <t>CUST91185</t>
  </si>
  <si>
    <t>ORD-03586</t>
  </si>
  <si>
    <t>CUST91393</t>
  </si>
  <si>
    <t>ORD-02974</t>
  </si>
  <si>
    <t>CUST06333</t>
  </si>
  <si>
    <t>ORD-03801</t>
  </si>
  <si>
    <t>CUST68786</t>
  </si>
  <si>
    <t>ORD-01247</t>
  </si>
  <si>
    <t>CUST10958</t>
  </si>
  <si>
    <t>ORD-00428</t>
  </si>
  <si>
    <t>CUST48382</t>
  </si>
  <si>
    <t>ORD-03405</t>
  </si>
  <si>
    <t>CUST34808</t>
  </si>
  <si>
    <t>ORD-03621</t>
  </si>
  <si>
    <t>CUST65858</t>
  </si>
  <si>
    <t>ORD-02736</t>
  </si>
  <si>
    <t>30/03/2023</t>
  </si>
  <si>
    <t>CUST35540</t>
  </si>
  <si>
    <t>ORD-02856</t>
  </si>
  <si>
    <t>CUST18697</t>
  </si>
  <si>
    <t>ORD-01999</t>
  </si>
  <si>
    <t>CUST83431</t>
  </si>
  <si>
    <t>ORD-02823</t>
  </si>
  <si>
    <t>CUST96063</t>
  </si>
  <si>
    <t>ORD-00051</t>
  </si>
  <si>
    <t>CUST27973</t>
  </si>
  <si>
    <t>ORD-01937</t>
  </si>
  <si>
    <t>CUST01091</t>
  </si>
  <si>
    <t>ORD-01851</t>
  </si>
  <si>
    <t>CUST81634</t>
  </si>
  <si>
    <t>ORD-03966</t>
  </si>
  <si>
    <t>CUST46541</t>
  </si>
  <si>
    <t>ORD-02914</t>
  </si>
  <si>
    <t>CUST62247</t>
  </si>
  <si>
    <t>ORD-03096</t>
  </si>
  <si>
    <t>CUST81977</t>
  </si>
  <si>
    <t>ORD-02175</t>
  </si>
  <si>
    <t>CUST77531</t>
  </si>
  <si>
    <t>ORD-03027</t>
  </si>
  <si>
    <t>CUST20866</t>
  </si>
  <si>
    <t>ORD-03598</t>
  </si>
  <si>
    <t>CUST37246</t>
  </si>
  <si>
    <t>ORD-02959</t>
  </si>
  <si>
    <t>CUST01768</t>
  </si>
  <si>
    <t>ORD-03349</t>
  </si>
  <si>
    <t>CUST44606</t>
  </si>
  <si>
    <t>ORD-03923</t>
  </si>
  <si>
    <t>CUST86711</t>
  </si>
  <si>
    <t>ORD-01417</t>
  </si>
  <si>
    <t>CUST32469</t>
  </si>
  <si>
    <t>ORD-03066</t>
  </si>
  <si>
    <t>CUST82969</t>
  </si>
  <si>
    <t>ORD-00432</t>
  </si>
  <si>
    <t>CUST05737</t>
  </si>
  <si>
    <t>ORD-03073</t>
  </si>
  <si>
    <t>CUST40607</t>
  </si>
  <si>
    <t>ORD-00064</t>
  </si>
  <si>
    <t>CUST37898</t>
  </si>
  <si>
    <t>ORD-03968</t>
  </si>
  <si>
    <t>CUST99406</t>
  </si>
  <si>
    <t>ORD-00447</t>
  </si>
  <si>
    <t>CUST75670</t>
  </si>
  <si>
    <t>ORD-00174</t>
  </si>
  <si>
    <t>CUST91348</t>
  </si>
  <si>
    <t>ORD-03612</t>
  </si>
  <si>
    <t>CUST81078</t>
  </si>
  <si>
    <t>ORD-03829</t>
  </si>
  <si>
    <t>CUST62705</t>
  </si>
  <si>
    <t>ORD-00685</t>
  </si>
  <si>
    <t>CUST18067</t>
  </si>
  <si>
    <t>ORD-04098</t>
  </si>
  <si>
    <t>CUST64023</t>
  </si>
  <si>
    <t>ORD-00959</t>
  </si>
  <si>
    <t>CUST32919</t>
  </si>
  <si>
    <t>ORD-03243</t>
  </si>
  <si>
    <t>CUST21449</t>
  </si>
  <si>
    <t>ORD-00153</t>
  </si>
  <si>
    <t>CUST65087</t>
  </si>
  <si>
    <t>ORD-01408</t>
  </si>
  <si>
    <t>ORD-03874</t>
  </si>
  <si>
    <t>CUST96272</t>
  </si>
  <si>
    <t>ORD-02425</t>
  </si>
  <si>
    <t>CUST81941</t>
  </si>
  <si>
    <t>ORD-01605</t>
  </si>
  <si>
    <t>CUST74310</t>
  </si>
  <si>
    <t>ORD-03886</t>
  </si>
  <si>
    <t>CUST37843</t>
  </si>
  <si>
    <t>ORD-00508</t>
  </si>
  <si>
    <t>CUST12889</t>
  </si>
  <si>
    <t>ORD-00161</t>
  </si>
  <si>
    <t>CUST18225</t>
  </si>
  <si>
    <t>ORD-02799</t>
  </si>
  <si>
    <t>CUST04344</t>
  </si>
  <si>
    <t>ORD-03209</t>
  </si>
  <si>
    <t>CUST57413</t>
  </si>
  <si>
    <t>ORD-02760</t>
  </si>
  <si>
    <t>CUST27593</t>
  </si>
  <si>
    <t>ORD-01910</t>
  </si>
  <si>
    <t>CUST00866</t>
  </si>
  <si>
    <t>ORD-03867</t>
  </si>
  <si>
    <t>CUST39793</t>
  </si>
  <si>
    <t>ORD-00740</t>
  </si>
  <si>
    <t>CUST43436</t>
  </si>
  <si>
    <t>ORD-03403</t>
  </si>
  <si>
    <t>CUST49423</t>
  </si>
  <si>
    <t>ORD-03091</t>
  </si>
  <si>
    <t>CUST39206</t>
  </si>
  <si>
    <t>ORD-02040</t>
  </si>
  <si>
    <t>CUST10264</t>
  </si>
  <si>
    <t>ORD-03367</t>
  </si>
  <si>
    <t>CUST44669</t>
  </si>
  <si>
    <t>ORD-00724</t>
  </si>
  <si>
    <t>CUST48812</t>
  </si>
  <si>
    <t>ORD-00841</t>
  </si>
  <si>
    <t>CUST59671</t>
  </si>
  <si>
    <t>ORD-02154</t>
  </si>
  <si>
    <t>CUST23836</t>
  </si>
  <si>
    <t>ORD-02230</t>
  </si>
  <si>
    <t>CUST49677</t>
  </si>
  <si>
    <t>ORD-00031</t>
  </si>
  <si>
    <t>CUST59076</t>
  </si>
  <si>
    <t>ORD-02694</t>
  </si>
  <si>
    <t>CUST76215</t>
  </si>
  <si>
    <t>ORD-03260</t>
  </si>
  <si>
    <t>CUST04203</t>
  </si>
  <si>
    <t>ORD-00624</t>
  </si>
  <si>
    <t>CUST07175</t>
  </si>
  <si>
    <t>ORD-02814</t>
  </si>
  <si>
    <t>CUST78368</t>
  </si>
  <si>
    <t>ORD-02201</t>
  </si>
  <si>
    <t>CUST38678</t>
  </si>
  <si>
    <t>ORD-00209</t>
  </si>
  <si>
    <t>CUST38184</t>
  </si>
  <si>
    <t>ORD-02795</t>
  </si>
  <si>
    <t>CUST45978</t>
  </si>
  <si>
    <t>ORD-00552</t>
  </si>
  <si>
    <t>CUST21371</t>
  </si>
  <si>
    <t>ORD-02373</t>
  </si>
  <si>
    <t>CUST88880</t>
  </si>
  <si>
    <t>ORD-01147</t>
  </si>
  <si>
    <t>CUST78239</t>
  </si>
  <si>
    <t>ORD-03780</t>
  </si>
  <si>
    <t>CUST38828</t>
  </si>
  <si>
    <t>ORD-00097</t>
  </si>
  <si>
    <t>CUST92061</t>
  </si>
  <si>
    <t>ORD-03102</t>
  </si>
  <si>
    <t>CUST37184</t>
  </si>
  <si>
    <t>ORD-03648</t>
  </si>
  <si>
    <t>CUST67942</t>
  </si>
  <si>
    <t>ORD-02349</t>
  </si>
  <si>
    <t>CUST17978</t>
  </si>
  <si>
    <t>ORD-02944</t>
  </si>
  <si>
    <t>CUST91370</t>
  </si>
  <si>
    <t>ORD-03085</t>
  </si>
  <si>
    <t>CUST66243</t>
  </si>
  <si>
    <t>ORD-03781</t>
  </si>
  <si>
    <t>CUST02825</t>
  </si>
  <si>
    <t>ORD-00116</t>
  </si>
  <si>
    <t>CUST51634</t>
  </si>
  <si>
    <t>ORD-02593</t>
  </si>
  <si>
    <t>CUST54751</t>
  </si>
  <si>
    <t>ORD-01196</t>
  </si>
  <si>
    <t>CUST09212</t>
  </si>
  <si>
    <t>ORD-03379</t>
  </si>
  <si>
    <t>CUST97050</t>
  </si>
  <si>
    <t>ORD-01829</t>
  </si>
  <si>
    <t>CUST59422</t>
  </si>
  <si>
    <t>ORD-03844</t>
  </si>
  <si>
    <t>CUST42003</t>
  </si>
  <si>
    <t>ORD-00374</t>
  </si>
  <si>
    <t>CUST62120</t>
  </si>
  <si>
    <t>ORD-03261</t>
  </si>
  <si>
    <t>CUST80345</t>
  </si>
  <si>
    <t>ORD-03347</t>
  </si>
  <si>
    <t>CUST96482</t>
  </si>
  <si>
    <t>ORD-02239</t>
  </si>
  <si>
    <t>CUST33232</t>
  </si>
  <si>
    <t>ORD-00922</t>
  </si>
  <si>
    <t>CUST58356</t>
  </si>
  <si>
    <t>ORD-00807</t>
  </si>
  <si>
    <t>CUST38805</t>
  </si>
  <si>
    <t>ORD-00434</t>
  </si>
  <si>
    <t>CUST66878</t>
  </si>
  <si>
    <t>ORD-03887</t>
  </si>
  <si>
    <t>CUST50038</t>
  </si>
  <si>
    <t>ORD-03107</t>
  </si>
  <si>
    <t>CUST95163</t>
  </si>
  <si>
    <t>ORD-03010</t>
  </si>
  <si>
    <t>CUST41279</t>
  </si>
  <si>
    <t>ORD-01239</t>
  </si>
  <si>
    <t>CUST27651</t>
  </si>
  <si>
    <t>ORD-01115</t>
  </si>
  <si>
    <t>CUST88128</t>
  </si>
  <si>
    <t>ORD-00015</t>
  </si>
  <si>
    <t>CUST32301</t>
  </si>
  <si>
    <t>ORD-03772</t>
  </si>
  <si>
    <t>CUST20093</t>
  </si>
  <si>
    <t>ORD-03934</t>
  </si>
  <si>
    <t>CUST52420</t>
  </si>
  <si>
    <t>ORD-03468</t>
  </si>
  <si>
    <t>CUST47776</t>
  </si>
  <si>
    <t>ORD-00677</t>
  </si>
  <si>
    <t>CUST61386</t>
  </si>
  <si>
    <t>ORD-00503</t>
  </si>
  <si>
    <t>CUST41086</t>
  </si>
  <si>
    <t>ORD-02456</t>
  </si>
  <si>
    <t>CUST02238</t>
  </si>
  <si>
    <t>ORD-00263</t>
  </si>
  <si>
    <t>CUST31785</t>
  </si>
  <si>
    <t>ORD-01657</t>
  </si>
  <si>
    <t>CUST72051</t>
  </si>
  <si>
    <t>ORD-03364</t>
  </si>
  <si>
    <t>CUST81812</t>
  </si>
  <si>
    <t>ORD-03526</t>
  </si>
  <si>
    <t>CUST01333</t>
  </si>
  <si>
    <t>ORD-03758</t>
  </si>
  <si>
    <t>CUST81275</t>
  </si>
  <si>
    <t>ORD-01705</t>
  </si>
  <si>
    <t>CUST77601</t>
  </si>
  <si>
    <t>ORD-00050</t>
  </si>
  <si>
    <t>CUST20234</t>
  </si>
  <si>
    <t>ORD-03151</t>
  </si>
  <si>
    <t>CUST28094</t>
  </si>
  <si>
    <t>ORD-03880</t>
  </si>
  <si>
    <t>CUST49372</t>
  </si>
  <si>
    <t>ORD-01784</t>
  </si>
  <si>
    <t>CUST21830</t>
  </si>
  <si>
    <t>ORD-01483</t>
  </si>
  <si>
    <t>CUST97519</t>
  </si>
  <si>
    <t>ORD-01746</t>
  </si>
  <si>
    <t>CUST09453</t>
  </si>
  <si>
    <t>ORD-02669</t>
  </si>
  <si>
    <t>CUST70473</t>
  </si>
  <si>
    <t>ORD-01671</t>
  </si>
  <si>
    <t>CUST45922</t>
  </si>
  <si>
    <t>ORD-00944</t>
  </si>
  <si>
    <t>CUST74789</t>
  </si>
  <si>
    <t>ORD-02251</t>
  </si>
  <si>
    <t>CUST41014</t>
  </si>
  <si>
    <t>ORD-00466</t>
  </si>
  <si>
    <t>CUST73065</t>
  </si>
  <si>
    <t>ORD-01518</t>
  </si>
  <si>
    <t>CUST66356</t>
  </si>
  <si>
    <t>ORD-01384</t>
  </si>
  <si>
    <t>CUST19005</t>
  </si>
  <si>
    <t>ORD-00383</t>
  </si>
  <si>
    <t>CUST78014</t>
  </si>
  <si>
    <t>ORD-01525</t>
  </si>
  <si>
    <t>CUST73027</t>
  </si>
  <si>
    <t>ORD-02930</t>
  </si>
  <si>
    <t>CUST27302</t>
  </si>
  <si>
    <t>ORD-01440</t>
  </si>
  <si>
    <t>CUST84528</t>
  </si>
  <si>
    <t>ORD-03307</t>
  </si>
  <si>
    <t>CUST74033</t>
  </si>
  <si>
    <t>ORD-01634</t>
  </si>
  <si>
    <t>CUST19177</t>
  </si>
  <si>
    <t>ORD-00772</t>
  </si>
  <si>
    <t>CUST40808</t>
  </si>
  <si>
    <t>ORD-03958</t>
  </si>
  <si>
    <t>CUST05507</t>
  </si>
  <si>
    <t>ORD-01896</t>
  </si>
  <si>
    <t>CUST56422</t>
  </si>
  <si>
    <t>ORD-02041</t>
  </si>
  <si>
    <t>CUST04308</t>
  </si>
  <si>
    <t>ORD-00078</t>
  </si>
  <si>
    <t>CUST03970</t>
  </si>
  <si>
    <t>ORD-00758</t>
  </si>
  <si>
    <t>CUST74570</t>
  </si>
  <si>
    <t>ORD-00305</t>
  </si>
  <si>
    <t>CUST10300</t>
  </si>
  <si>
    <t>ORD-03198</t>
  </si>
  <si>
    <t>CUST60856</t>
  </si>
  <si>
    <t>ORD-01684</t>
  </si>
  <si>
    <t>CUST67104</t>
  </si>
  <si>
    <t>ORD-02637</t>
  </si>
  <si>
    <t>CUST01385</t>
  </si>
  <si>
    <t>ORD-00013</t>
  </si>
  <si>
    <t>CUST86980</t>
  </si>
  <si>
    <t>ORD-04159</t>
  </si>
  <si>
    <t>CUST56892</t>
  </si>
  <si>
    <t>ORD-03080</t>
  </si>
  <si>
    <t>CUST34629</t>
  </si>
  <si>
    <t>ORD-02720</t>
  </si>
  <si>
    <t>CUST36373</t>
  </si>
  <si>
    <t>ORD-03318</t>
  </si>
  <si>
    <t>CUST94948</t>
  </si>
  <si>
    <t>ORD-02315</t>
  </si>
  <si>
    <t>CUST44222</t>
  </si>
  <si>
    <t>ORD-00568</t>
  </si>
  <si>
    <t>CUST35377</t>
  </si>
  <si>
    <t>ORD-00896</t>
  </si>
  <si>
    <t>CUST89978</t>
  </si>
  <si>
    <t>ORD-00003</t>
  </si>
  <si>
    <t>CUST37770</t>
  </si>
  <si>
    <t>ORD-02261</t>
  </si>
  <si>
    <t>CUST28968</t>
  </si>
  <si>
    <t>ORD-04151</t>
  </si>
  <si>
    <t>CUST43686</t>
  </si>
  <si>
    <t>ORD-01430</t>
  </si>
  <si>
    <t>CUST37845</t>
  </si>
  <si>
    <t>ORD-02884</t>
  </si>
  <si>
    <t>CUST30359</t>
  </si>
  <si>
    <t>ORD-00529</t>
  </si>
  <si>
    <t>22/08/2020</t>
  </si>
  <si>
    <t>CUST06871</t>
  </si>
  <si>
    <t>ORD-01422</t>
  </si>
  <si>
    <t>CUST97273</t>
  </si>
  <si>
    <t>ORD-00894</t>
  </si>
  <si>
    <t>CUST78346</t>
  </si>
  <si>
    <t>ORD-01172</t>
  </si>
  <si>
    <t>CUST46531</t>
  </si>
  <si>
    <t>ORD-03633</t>
  </si>
  <si>
    <t>CUST94304</t>
  </si>
  <si>
    <t>ORD-00144</t>
  </si>
  <si>
    <t>CUST57714</t>
  </si>
  <si>
    <t>ORD-02970</t>
  </si>
  <si>
    <t>CUST03472</t>
  </si>
  <si>
    <t>ORD-01114</t>
  </si>
  <si>
    <t>CUST93051</t>
  </si>
  <si>
    <t>ORD-01499</t>
  </si>
  <si>
    <t>CUST56836</t>
  </si>
  <si>
    <t>ORD-03800</t>
  </si>
  <si>
    <t>CUST91283</t>
  </si>
  <si>
    <t>ORD-02646</t>
  </si>
  <si>
    <t>CUST26372</t>
  </si>
  <si>
    <t>ORD-02453</t>
  </si>
  <si>
    <t>CUST60217</t>
  </si>
  <si>
    <t>ORD-03331</t>
  </si>
  <si>
    <t>CUST97882</t>
  </si>
  <si>
    <t>ORD-03250</t>
  </si>
  <si>
    <t>CUST90626</t>
  </si>
  <si>
    <t>ORD-01808</t>
  </si>
  <si>
    <t>CUST91944</t>
  </si>
  <si>
    <t>ORD-03557</t>
  </si>
  <si>
    <t>CUST80826</t>
  </si>
  <si>
    <t>ORD-01952</t>
  </si>
  <si>
    <t>CUST78875</t>
  </si>
  <si>
    <t>ORD-03988</t>
  </si>
  <si>
    <t>CUST06985</t>
  </si>
  <si>
    <t>ORD-00777</t>
  </si>
  <si>
    <t>CUST52222</t>
  </si>
  <si>
    <t>ORD-02091</t>
  </si>
  <si>
    <t>CUST74431</t>
  </si>
  <si>
    <t>ORD-01534</t>
  </si>
  <si>
    <t>CUST28621</t>
  </si>
  <si>
    <t>ORD-01857</t>
  </si>
  <si>
    <t>CUST08818</t>
  </si>
  <si>
    <t>ORD-01342</t>
  </si>
  <si>
    <t>CUST97259</t>
  </si>
  <si>
    <t>ORD-00718</t>
  </si>
  <si>
    <t>CUST87168</t>
  </si>
  <si>
    <t>ORD-00732</t>
  </si>
  <si>
    <t>CUST50773</t>
  </si>
  <si>
    <t>ORD-01041</t>
  </si>
  <si>
    <t>CUST54549</t>
  </si>
  <si>
    <t>ORD-03263</t>
  </si>
  <si>
    <t>CUST94911</t>
  </si>
  <si>
    <t>ORD-01119</t>
  </si>
  <si>
    <t>CUST96816</t>
  </si>
  <si>
    <t>ORD-01552</t>
  </si>
  <si>
    <t>CUST17708</t>
  </si>
  <si>
    <t>ORD-00087</t>
  </si>
  <si>
    <t>CUST92405</t>
  </si>
  <si>
    <t>ORD-01058</t>
  </si>
  <si>
    <t>CUST42637</t>
  </si>
  <si>
    <t>ORD-00820</t>
  </si>
  <si>
    <t>CUST00304</t>
  </si>
  <si>
    <t>ORD-03578</t>
  </si>
  <si>
    <t>CUST61770</t>
  </si>
  <si>
    <t>ORD-01248</t>
  </si>
  <si>
    <t>CUST02073</t>
  </si>
  <si>
    <t>ORD-00659</t>
  </si>
  <si>
    <t>CUST20907</t>
  </si>
  <si>
    <t>ORD-00866</t>
  </si>
  <si>
    <t>CUST71222</t>
  </si>
  <si>
    <t>ORD-02674</t>
  </si>
  <si>
    <t>CUST43411</t>
  </si>
  <si>
    <t>ORD-01520</t>
  </si>
  <si>
    <t>CUST85696</t>
  </si>
  <si>
    <t>ORD-00479</t>
  </si>
  <si>
    <t>CUST08721</t>
  </si>
  <si>
    <t>ORD-03969</t>
  </si>
  <si>
    <t>CUST60604</t>
  </si>
  <si>
    <t>ORD-01869</t>
  </si>
  <si>
    <t>CUST89646</t>
  </si>
  <si>
    <t>ORD-03181</t>
  </si>
  <si>
    <t>CUST05659</t>
  </si>
  <si>
    <t>ORD-00572</t>
  </si>
  <si>
    <t>CUST64941</t>
  </si>
  <si>
    <t>ORD-00095</t>
  </si>
  <si>
    <t>CUST17595</t>
  </si>
  <si>
    <t>ORD-00386</t>
  </si>
  <si>
    <t>CUST61530</t>
  </si>
  <si>
    <t>ORD-01321</t>
  </si>
  <si>
    <t>CUST60359</t>
  </si>
  <si>
    <t>ORD-03432</t>
  </si>
  <si>
    <t>CUST93500</t>
  </si>
  <si>
    <t>ORD-01995</t>
  </si>
  <si>
    <t>CUST56565</t>
  </si>
  <si>
    <t>ORD-02537</t>
  </si>
  <si>
    <t>CUST57903</t>
  </si>
  <si>
    <t>ORD-01383</t>
  </si>
  <si>
    <t>CUST61824</t>
  </si>
  <si>
    <t>ORD-00969</t>
  </si>
  <si>
    <t>CUST73466</t>
  </si>
  <si>
    <t>ORD-01382</t>
  </si>
  <si>
    <t>CUST87197</t>
  </si>
  <si>
    <t>ORD-00927</t>
  </si>
  <si>
    <t>CUST72964</t>
  </si>
  <si>
    <t>ORD-01607</t>
  </si>
  <si>
    <t>CUST44100</t>
  </si>
  <si>
    <t>ORD-01983</t>
  </si>
  <si>
    <t>CUST55032</t>
  </si>
  <si>
    <t>ORD-01533</t>
  </si>
  <si>
    <t>CUST14357</t>
  </si>
  <si>
    <t>ORD-00790</t>
  </si>
  <si>
    <t>CUST03149</t>
  </si>
  <si>
    <t>ORD-03428</t>
  </si>
  <si>
    <t>CUST34376</t>
  </si>
  <si>
    <t>ORD-02988</t>
  </si>
  <si>
    <t>CUST14176</t>
  </si>
  <si>
    <t>ORD-01713</t>
  </si>
  <si>
    <t>CUST87459</t>
  </si>
  <si>
    <t>ORD-02220</t>
  </si>
  <si>
    <t>CUST94861</t>
  </si>
  <si>
    <t>ORD-04056</t>
  </si>
  <si>
    <t>CUST85837</t>
  </si>
  <si>
    <t>ORD-03871</t>
  </si>
  <si>
    <t>CUST30080</t>
  </si>
  <si>
    <t>ORD-02903</t>
  </si>
  <si>
    <t>CUST35531</t>
  </si>
  <si>
    <t>ORD-02065</t>
  </si>
  <si>
    <t>CUST70033</t>
  </si>
  <si>
    <t>ORD-03223</t>
  </si>
  <si>
    <t>CUST08748</t>
  </si>
  <si>
    <t>ORD-02837</t>
  </si>
  <si>
    <t>19/05/2023</t>
  </si>
  <si>
    <t>CUST35159</t>
  </si>
  <si>
    <t>ORD-02611</t>
  </si>
  <si>
    <t>CUST82751</t>
  </si>
  <si>
    <t>ORD-00288</t>
  </si>
  <si>
    <t>CUST56916</t>
  </si>
  <si>
    <t>ORD-00962</t>
  </si>
  <si>
    <t>CUST30724</t>
  </si>
  <si>
    <t>ORD-00911</t>
  </si>
  <si>
    <t>CUST78268</t>
  </si>
  <si>
    <t>ORD-02833</t>
  </si>
  <si>
    <t>CUST95416</t>
  </si>
  <si>
    <t>ORD-00691</t>
  </si>
  <si>
    <t>CUST03760</t>
  </si>
  <si>
    <t>ORD-02089</t>
  </si>
  <si>
    <t>CUST77763</t>
  </si>
  <si>
    <t>ORD-03147</t>
  </si>
  <si>
    <t>CUST30274</t>
  </si>
  <si>
    <t>ORD-02100</t>
  </si>
  <si>
    <t>CUST74233</t>
  </si>
  <si>
    <t>ORD-02626</t>
  </si>
  <si>
    <t>CUST69406</t>
  </si>
  <si>
    <t>ORD-02131</t>
  </si>
  <si>
    <t>CUST50804</t>
  </si>
  <si>
    <t>ORD-02079</t>
  </si>
  <si>
    <t>CUST04011</t>
  </si>
  <si>
    <t>ORD-03669</t>
  </si>
  <si>
    <t>CUST16468</t>
  </si>
  <si>
    <t>ORD-02750</t>
  </si>
  <si>
    <t>CUST50334</t>
  </si>
  <si>
    <t>ORD-03909</t>
  </si>
  <si>
    <t>CUST57051</t>
  </si>
  <si>
    <t>ORD-00858</t>
  </si>
  <si>
    <t>CUST72879</t>
  </si>
  <si>
    <t>ORD-00655</t>
  </si>
  <si>
    <t>CUST05466</t>
  </si>
  <si>
    <t>ORD-02447</t>
  </si>
  <si>
    <t>CUST28654</t>
  </si>
  <si>
    <t>ORD-03981</t>
  </si>
  <si>
    <t>CUST77329</t>
  </si>
  <si>
    <t>ORD-03668</t>
  </si>
  <si>
    <t>CUST73443</t>
  </si>
  <si>
    <t>ORD-00312</t>
  </si>
  <si>
    <t>CUST15821</t>
  </si>
  <si>
    <t>ORD-02446</t>
  </si>
  <si>
    <t>CUST10062</t>
  </si>
  <si>
    <t>ORD-01508</t>
  </si>
  <si>
    <t>CUST17295</t>
  </si>
  <si>
    <t>ORD-02907</t>
  </si>
  <si>
    <t>CUST44256</t>
  </si>
  <si>
    <t>ORD-01624</t>
  </si>
  <si>
    <t>CUST88996</t>
  </si>
  <si>
    <t>ORD-00260</t>
  </si>
  <si>
    <t>CUST61424</t>
  </si>
  <si>
    <t>ORD-03119</t>
  </si>
  <si>
    <t>CUST59443</t>
  </si>
  <si>
    <t>ORD-00420</t>
  </si>
  <si>
    <t>CUST53531</t>
  </si>
  <si>
    <t>ORD-02767</t>
  </si>
  <si>
    <t>CUST75550</t>
  </si>
  <si>
    <t>ORD-00377</t>
  </si>
  <si>
    <t>CUST66402</t>
  </si>
  <si>
    <t>ORD-00456</t>
  </si>
  <si>
    <t>CUST76466</t>
  </si>
  <si>
    <t>ORD-03233</t>
  </si>
  <si>
    <t>CUST27413</t>
  </si>
  <si>
    <t>ORD-02244</t>
  </si>
  <si>
    <t>CUST41690</t>
  </si>
  <si>
    <t>ORD-01182</t>
  </si>
  <si>
    <t>CUST88678</t>
  </si>
  <si>
    <t>ORD-01343</t>
  </si>
  <si>
    <t>CUST26367</t>
  </si>
  <si>
    <t>ORD-01071</t>
  </si>
  <si>
    <t>CUST61699</t>
  </si>
  <si>
    <t>ORD-00102</t>
  </si>
  <si>
    <t>CUST59146</t>
  </si>
  <si>
    <t>ORD-00755</t>
  </si>
  <si>
    <t>CUST00745</t>
  </si>
  <si>
    <t>ORD-04058</t>
  </si>
  <si>
    <t>CUST87657</t>
  </si>
  <si>
    <t>ORD-00795</t>
  </si>
  <si>
    <t>CUST00853</t>
  </si>
  <si>
    <t>ORD-02245</t>
  </si>
  <si>
    <t>CUST73701</t>
  </si>
  <si>
    <t>ORD-01270</t>
  </si>
  <si>
    <t>CUST77971</t>
  </si>
  <si>
    <t>ORD-03463</t>
  </si>
  <si>
    <t>CUST64065</t>
  </si>
  <si>
    <t>ORD-03213</t>
  </si>
  <si>
    <t>CUST91826</t>
  </si>
  <si>
    <t>ORD-02929</t>
  </si>
  <si>
    <t>CUST82307</t>
  </si>
  <si>
    <t>ORD-01420</t>
  </si>
  <si>
    <t>CUST46668</t>
  </si>
  <si>
    <t>ORD-01441</t>
  </si>
  <si>
    <t>ORD-01615</t>
  </si>
  <si>
    <t>CUST49728</t>
  </si>
  <si>
    <t>ORD-02718</t>
  </si>
  <si>
    <t>CUST87274</t>
  </si>
  <si>
    <t>ORD-02739</t>
  </si>
  <si>
    <t>CUST55589</t>
  </si>
  <si>
    <t>ORD-02536</t>
  </si>
  <si>
    <t>CUST18948</t>
  </si>
  <si>
    <t>ORD-01654</t>
  </si>
  <si>
    <t>CUST39219</t>
  </si>
  <si>
    <t>ORD-03905</t>
  </si>
  <si>
    <t>CUST19408</t>
  </si>
  <si>
    <t>ORD-01309</t>
  </si>
  <si>
    <t>CUST97836</t>
  </si>
  <si>
    <t>ORD-00750</t>
  </si>
  <si>
    <t>CUST88589</t>
  </si>
  <si>
    <t>ORD-01082</t>
  </si>
  <si>
    <t>CUST69812</t>
  </si>
  <si>
    <t>ORD-00392</t>
  </si>
  <si>
    <t>CUST50327</t>
  </si>
  <si>
    <t>ORD-01028</t>
  </si>
  <si>
    <t>CUST33135</t>
  </si>
  <si>
    <t>ORD-00895</t>
  </si>
  <si>
    <t>CUST68309</t>
  </si>
  <si>
    <t>ORD-03097</t>
  </si>
  <si>
    <t>CUST96631</t>
  </si>
  <si>
    <t>ORD-03816</t>
  </si>
  <si>
    <t>CUST84507</t>
  </si>
  <si>
    <t>ORD-03490</t>
  </si>
  <si>
    <t>CUST29539</t>
  </si>
  <si>
    <t>ORD-00331</t>
  </si>
  <si>
    <t>CUST80859</t>
  </si>
  <si>
    <t>ORD-02075</t>
  </si>
  <si>
    <t>CUST98678</t>
  </si>
  <si>
    <t>ORD-00159</t>
  </si>
  <si>
    <t>CUST53040</t>
  </si>
  <si>
    <t>ORD-00486</t>
  </si>
  <si>
    <t>CUST70631</t>
  </si>
  <si>
    <t>ORD-00348</t>
  </si>
  <si>
    <t>CUST36817</t>
  </si>
  <si>
    <t>ORD-03138</t>
  </si>
  <si>
    <t>CUST63631</t>
  </si>
  <si>
    <t>ORD-01347</t>
  </si>
  <si>
    <t>CUST43896</t>
  </si>
  <si>
    <t>ORD-03544</t>
  </si>
  <si>
    <t>CUST29796</t>
  </si>
  <si>
    <t>ORD-03719</t>
  </si>
  <si>
    <t>CUST03355</t>
  </si>
  <si>
    <t>ORD-02654</t>
  </si>
  <si>
    <t>CUST39288</t>
  </si>
  <si>
    <t>ORD-02687</t>
  </si>
  <si>
    <t>CUST74163</t>
  </si>
  <si>
    <t>ORD-00801</t>
  </si>
  <si>
    <t>CUST09674</t>
  </si>
  <si>
    <t>ORD-01572</t>
  </si>
  <si>
    <t>CUST23827</t>
  </si>
  <si>
    <t>ORD-04141</t>
  </si>
  <si>
    <t>CUST72168</t>
  </si>
  <si>
    <t>ORD-02756</t>
  </si>
  <si>
    <t>CUST40199</t>
  </si>
  <si>
    <t>ORD-00091</t>
  </si>
  <si>
    <t>CUST57456</t>
  </si>
  <si>
    <t>ORD-03626</t>
  </si>
  <si>
    <t>CUST12779</t>
  </si>
  <si>
    <t>ORD-03798</t>
  </si>
  <si>
    <t>CUST41603</t>
  </si>
  <si>
    <t>ORD-00207</t>
  </si>
  <si>
    <t>CUST97019</t>
  </si>
  <si>
    <t>ORD-03929</t>
  </si>
  <si>
    <t>CUST39906</t>
  </si>
  <si>
    <t>ORD-00686</t>
  </si>
  <si>
    <t>CUST38079</t>
  </si>
  <si>
    <t>ORD-00029</t>
  </si>
  <si>
    <t>CUST78062</t>
  </si>
  <si>
    <t>ORD-01666</t>
  </si>
  <si>
    <t>CUST87705</t>
  </si>
  <si>
    <t>ORD-00265</t>
  </si>
  <si>
    <t>CUST32861</t>
  </si>
  <si>
    <t>ORD-03060</t>
  </si>
  <si>
    <t>CUST71865</t>
  </si>
  <si>
    <t>ORD-03843</t>
  </si>
  <si>
    <t>CUST47635</t>
  </si>
  <si>
    <t>ORD-04134</t>
  </si>
  <si>
    <t>CUST52437</t>
  </si>
  <si>
    <t>ORD-02503</t>
  </si>
  <si>
    <t>CUST96196</t>
  </si>
  <si>
    <t>ORD-02567</t>
  </si>
  <si>
    <t>CUST46311</t>
  </si>
  <si>
    <t>ORD-02961</t>
  </si>
  <si>
    <t>CUST02626</t>
  </si>
  <si>
    <t>ORD-00021</t>
  </si>
  <si>
    <t>CUST80727</t>
  </si>
  <si>
    <t>ORD-02242</t>
  </si>
  <si>
    <t>CUST95868</t>
  </si>
  <si>
    <t>ORD-04147</t>
  </si>
  <si>
    <t>CUST95344</t>
  </si>
  <si>
    <t>ORD-00668</t>
  </si>
  <si>
    <t>CUST19944</t>
  </si>
  <si>
    <t>ORD-02934</t>
  </si>
  <si>
    <t>CUST34229</t>
  </si>
  <si>
    <t>ORD-03448</t>
  </si>
  <si>
    <t>CUST27667</t>
  </si>
  <si>
    <t>ORD-02266</t>
  </si>
  <si>
    <t>CUST21061</t>
  </si>
  <si>
    <t>ORD-04172</t>
  </si>
  <si>
    <t>CUST07872</t>
  </si>
  <si>
    <t>ORD-04076</t>
  </si>
  <si>
    <t>CUST95354</t>
  </si>
  <si>
    <t>ORD-03563</t>
  </si>
  <si>
    <t>CUST46277</t>
  </si>
  <si>
    <t>ORD-02321</t>
  </si>
  <si>
    <t>CUST59579</t>
  </si>
  <si>
    <t>ORD-03945</t>
  </si>
  <si>
    <t>CUST92249</t>
  </si>
  <si>
    <t>ORD-04192</t>
  </si>
  <si>
    <t>CUST70453</t>
  </si>
  <si>
    <t>ORD-01563</t>
  </si>
  <si>
    <t>ORD-00545</t>
  </si>
  <si>
    <t>CUST34020</t>
  </si>
  <si>
    <t>ORD-00909</t>
  </si>
  <si>
    <t>CUST63944</t>
  </si>
  <si>
    <t>ORD-03437</t>
  </si>
  <si>
    <t>CUST14095</t>
  </si>
  <si>
    <t>ORD-02631</t>
  </si>
  <si>
    <t>CUST32596</t>
  </si>
  <si>
    <t>ORD-00414</t>
  </si>
  <si>
    <t>CUST38493</t>
  </si>
  <si>
    <t>ORD-00525</t>
  </si>
  <si>
    <t>CUST73074</t>
  </si>
  <si>
    <t>ORD-03521</t>
  </si>
  <si>
    <t>CUST00084</t>
  </si>
  <si>
    <t>ORD-01849</t>
  </si>
  <si>
    <t>CUST56391</t>
  </si>
  <si>
    <t>ORD-02703</t>
  </si>
  <si>
    <t>CUST53601</t>
  </si>
  <si>
    <t>ORD-04083</t>
  </si>
  <si>
    <t>CUST32744</t>
  </si>
  <si>
    <t>ORD-00573</t>
  </si>
  <si>
    <t>CUST93696</t>
  </si>
  <si>
    <t>ORD-03306</t>
  </si>
  <si>
    <t>CUST91195</t>
  </si>
  <si>
    <t>ORD-02199</t>
  </si>
  <si>
    <t>CUST65100</t>
  </si>
  <si>
    <t>ORD-00901</t>
  </si>
  <si>
    <t>CUST88807</t>
  </si>
  <si>
    <t>ORD-04149</t>
  </si>
  <si>
    <t>CUST54782</t>
  </si>
  <si>
    <t>ORD-00638</t>
  </si>
  <si>
    <t>CUST17767</t>
  </si>
  <si>
    <t>ORD-00010</t>
  </si>
  <si>
    <t>CUST07407</t>
  </si>
  <si>
    <t>ORD-01167</t>
  </si>
  <si>
    <t>CUST48910</t>
  </si>
  <si>
    <t>ORD-03303</t>
  </si>
  <si>
    <t>CUST73772</t>
  </si>
  <si>
    <t>ORD-02118</t>
  </si>
  <si>
    <t>CUST29628</t>
  </si>
  <si>
    <t>ORD-00764</t>
  </si>
  <si>
    <t>CUST21423</t>
  </si>
  <si>
    <t>ORD-01250</t>
  </si>
  <si>
    <t>CUST20121</t>
  </si>
  <si>
    <t>ORD-01550</t>
  </si>
  <si>
    <t>CUST66901</t>
  </si>
  <si>
    <t>ORD-03192</t>
  </si>
  <si>
    <t>CUST23779</t>
  </si>
  <si>
    <t>ORD-01356</t>
  </si>
  <si>
    <t>CUST36316</t>
  </si>
  <si>
    <t>ORD-00789</t>
  </si>
  <si>
    <t>CUST67387</t>
  </si>
  <si>
    <t>ORD-03113</t>
  </si>
  <si>
    <t>CUST73185</t>
  </si>
  <si>
    <t>ORD-02667</t>
  </si>
  <si>
    <t>CUST93637</t>
  </si>
  <si>
    <t>ORD-03918</t>
  </si>
  <si>
    <t>CUST09195</t>
  </si>
  <si>
    <t>ORD-02469</t>
  </si>
  <si>
    <t>CUST77482</t>
  </si>
  <si>
    <t>ORD-00952</t>
  </si>
  <si>
    <t>CUST97126</t>
  </si>
  <si>
    <t>ORD-03530</t>
  </si>
  <si>
    <t>CUST89097</t>
  </si>
  <si>
    <t>ORD-00512</t>
  </si>
  <si>
    <t>CUST98505</t>
  </si>
  <si>
    <t>ORD-01236</t>
  </si>
  <si>
    <t>CUST30009</t>
  </si>
  <si>
    <t>ORD-01618</t>
  </si>
  <si>
    <t>CUST82777</t>
  </si>
  <si>
    <t>ORD-03286</t>
  </si>
  <si>
    <t>CUST81972</t>
  </si>
  <si>
    <t>ORD-02164</t>
  </si>
  <si>
    <t>CUST84076</t>
  </si>
  <si>
    <t>ORD-03645</t>
  </si>
  <si>
    <t>CUST40711</t>
  </si>
  <si>
    <t>ORD-01602</t>
  </si>
  <si>
    <t>CUST98061</t>
  </si>
  <si>
    <t>ORD-02308</t>
  </si>
  <si>
    <t>CUST13492</t>
  </si>
  <si>
    <t>ORD-03457</t>
  </si>
  <si>
    <t>CUST62784</t>
  </si>
  <si>
    <t>ORD-03725</t>
  </si>
  <si>
    <t>CUST34762</t>
  </si>
  <si>
    <t>ORD-00240</t>
  </si>
  <si>
    <t>CUST66088</t>
  </si>
  <si>
    <t>ORD-01538</t>
  </si>
  <si>
    <t>CUST30276</t>
  </si>
  <si>
    <t>ORD-00246</t>
  </si>
  <si>
    <t>CUST40327</t>
  </si>
  <si>
    <t>ORD-00069</t>
  </si>
  <si>
    <t>CUST27522</t>
  </si>
  <si>
    <t>ORD-01653</t>
  </si>
  <si>
    <t>CUST39228</t>
  </si>
  <si>
    <t>ORD-00549</t>
  </si>
  <si>
    <t>CUST39184</t>
  </si>
  <si>
    <t>ORD-04125</t>
  </si>
  <si>
    <t>CUST69485</t>
  </si>
  <si>
    <t>ORD-02531</t>
  </si>
  <si>
    <t>CUST65173</t>
  </si>
  <si>
    <t>ORD-01426</t>
  </si>
  <si>
    <t>CUST08147</t>
  </si>
  <si>
    <t>ORD-03919</t>
  </si>
  <si>
    <t>CUST18468</t>
  </si>
  <si>
    <t>ORD-03686</t>
  </si>
  <si>
    <t>CUST39920</t>
  </si>
  <si>
    <t>ORD-01694</t>
  </si>
  <si>
    <t>CUST30040</t>
  </si>
  <si>
    <t>ORD-01035</t>
  </si>
  <si>
    <t>14/04/2021</t>
  </si>
  <si>
    <t>CUST49938</t>
  </si>
  <si>
    <t>ORD-02114</t>
  </si>
  <si>
    <t>CUST71584</t>
  </si>
  <si>
    <t>ORD-03137</t>
  </si>
  <si>
    <t>CUST53427</t>
  </si>
  <si>
    <t>ORD-01438</t>
  </si>
  <si>
    <t>CUST54455</t>
  </si>
  <si>
    <t>ORD-02064</t>
  </si>
  <si>
    <t>CUST47972</t>
  </si>
  <si>
    <t>ORD-02307</t>
  </si>
  <si>
    <t>CUST02936</t>
  </si>
  <si>
    <t>ORD-02545</t>
  </si>
  <si>
    <t>CUST44757</t>
  </si>
  <si>
    <t>ORD-02444</t>
  </si>
  <si>
    <t>CUST18227</t>
  </si>
  <si>
    <t>ORD-01051</t>
  </si>
  <si>
    <t>CUST83773</t>
  </si>
  <si>
    <t>ORD-02111</t>
  </si>
  <si>
    <t>CUST33335</t>
  </si>
  <si>
    <t>ORD-00109</t>
  </si>
  <si>
    <t>CUST69131</t>
  </si>
  <si>
    <t>ORD-01377</t>
  </si>
  <si>
    <t>CUST06907</t>
  </si>
  <si>
    <t>ORD-00580</t>
  </si>
  <si>
    <t>CUST77116</t>
  </si>
  <si>
    <t>ORD-01507</t>
  </si>
  <si>
    <t>CUST40530</t>
  </si>
  <si>
    <t>ORD-00547</t>
  </si>
  <si>
    <t>CUST60580</t>
  </si>
  <si>
    <t>ORD-00924</t>
  </si>
  <si>
    <t>CUST61112</t>
  </si>
  <si>
    <t>ORD-01081</t>
  </si>
  <si>
    <t>CUST44184</t>
  </si>
  <si>
    <t>ORD-00275</t>
  </si>
  <si>
    <t>CUST24667</t>
  </si>
  <si>
    <t>ORD-03517</t>
  </si>
  <si>
    <t>CUST27360</t>
  </si>
  <si>
    <t>ORD-01472</t>
  </si>
  <si>
    <t>CUST26553</t>
  </si>
  <si>
    <t>ORD-01299</t>
  </si>
  <si>
    <t>CUST07041</t>
  </si>
  <si>
    <t>ORD-03316</t>
  </si>
  <si>
    <t>CUST71283</t>
  </si>
  <si>
    <t>ORD-00951</t>
  </si>
  <si>
    <t>CUST39186</t>
  </si>
  <si>
    <t>ORD-03695</t>
  </si>
  <si>
    <t>CUST26394</t>
  </si>
  <si>
    <t>ORD-01830</t>
  </si>
  <si>
    <t>CUST13979</t>
  </si>
  <si>
    <t>ORD-01148</t>
  </si>
  <si>
    <t>CUST00645</t>
  </si>
  <si>
    <t>ORD-03150</t>
  </si>
  <si>
    <t>CUST68116</t>
  </si>
  <si>
    <t>ORD-01953</t>
  </si>
  <si>
    <t>CUST12422</t>
  </si>
  <si>
    <t>ORD-01811</t>
  </si>
  <si>
    <t>CUST60426</t>
  </si>
  <si>
    <t>ORD-03384</t>
  </si>
  <si>
    <t>CUST17189</t>
  </si>
  <si>
    <t>ORD-02087</t>
  </si>
  <si>
    <t>CUST38893</t>
  </si>
  <si>
    <t>ORD-01217</t>
  </si>
  <si>
    <t>CUST73651</t>
  </si>
  <si>
    <t>ORD-02217</t>
  </si>
  <si>
    <t>CUST06113</t>
  </si>
  <si>
    <t>Order_Date</t>
  </si>
  <si>
    <t>Customer_Id</t>
  </si>
  <si>
    <t>Gender</t>
  </si>
  <si>
    <t>Region</t>
  </si>
  <si>
    <t>City</t>
  </si>
  <si>
    <t>Product_Category</t>
  </si>
  <si>
    <t>Product_Name</t>
  </si>
  <si>
    <t>Quantity</t>
  </si>
  <si>
    <t>Discount_Pct</t>
  </si>
  <si>
    <t>Payment_Method</t>
  </si>
  <si>
    <t>Customer_Satisfaction</t>
  </si>
  <si>
    <t>Return_Flag</t>
  </si>
  <si>
    <t>Order_Status</t>
  </si>
  <si>
    <t>Days_To_Ship</t>
  </si>
  <si>
    <t>Order_ID</t>
  </si>
  <si>
    <t>N/A</t>
  </si>
  <si>
    <t>Age Range</t>
  </si>
  <si>
    <t>order_id</t>
  </si>
  <si>
    <t>order_date</t>
  </si>
  <si>
    <t>customer_id</t>
  </si>
  <si>
    <t>customer_name</t>
  </si>
  <si>
    <t>age</t>
  </si>
  <si>
    <t>gender</t>
  </si>
  <si>
    <t>region</t>
  </si>
  <si>
    <t>city</t>
  </si>
  <si>
    <t>product_category</t>
  </si>
  <si>
    <t>product_name</t>
  </si>
  <si>
    <t>quantity</t>
  </si>
  <si>
    <t>unit_price</t>
  </si>
  <si>
    <t>discount_pct</t>
  </si>
  <si>
    <t>sales_amount</t>
  </si>
  <si>
    <t>profit</t>
  </si>
  <si>
    <t>shipping_cost</t>
  </si>
  <si>
    <t>payment_method</t>
  </si>
  <si>
    <t>customer_satisfaction</t>
  </si>
  <si>
    <t>return_flag</t>
  </si>
  <si>
    <t>order_status</t>
  </si>
  <si>
    <t>days_to_ship</t>
  </si>
  <si>
    <t>FEMALE</t>
  </si>
  <si>
    <t xml:space="preserve">Unit_Price  </t>
  </si>
  <si>
    <t xml:space="preserve">Sales_Amount </t>
  </si>
  <si>
    <t xml:space="preserve">Profit  </t>
  </si>
  <si>
    <t xml:space="preserve">Shipping_Cost  </t>
  </si>
  <si>
    <t>Row Labels</t>
  </si>
  <si>
    <t>Grand Total</t>
  </si>
  <si>
    <t xml:space="preserve">           Top 10 Selling Product</t>
  </si>
  <si>
    <t>Returns</t>
  </si>
  <si>
    <t>Category</t>
  </si>
  <si>
    <t>Amount</t>
  </si>
  <si>
    <t>Products</t>
  </si>
  <si>
    <t xml:space="preserve">Shipping Cost  </t>
  </si>
  <si>
    <t>Category With Most Return</t>
  </si>
  <si>
    <t xml:space="preserve">        </t>
  </si>
  <si>
    <t xml:space="preserve">                Shipping Cost By Region</t>
  </si>
  <si>
    <t xml:space="preserve">Amount </t>
  </si>
  <si>
    <t xml:space="preserve">         Gender With Most Spending</t>
  </si>
  <si>
    <t>Delayed_Status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</si>
</sst>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0" fontId="1" fillId="2" borderId="0" xfId="0" applyFont="1" applyFill="1"/>
    <xf numFmtId="1" fontId="1" fillId="2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/>
    <xf numFmtId="44" fontId="0" fillId="0" borderId="0" xfId="0" applyNumberFormat="1"/>
    <xf numFmtId="164" fontId="0" fillId="0" borderId="0" xfId="0" applyNumberFormat="1"/>
    <xf numFmtId="0" fontId="3" fillId="2" borderId="0" xfId="0" applyFont="1" applyFill="1"/>
    <xf numFmtId="14" fontId="1" fillId="2" borderId="0" xfId="0" applyNumberFormat="1" applyFont="1" applyFill="1"/>
    <xf numFmtId="14" fontId="0" fillId="0" borderId="0" xfId="0" applyNumberFormat="1"/>
  </cellXfs>
  <cellStyles count="1">
    <cellStyle name="Normal" xfId="0" builtinId="0" customBuiltin="1"/>
  </cellStyles>
  <dxfs count="9">
    <dxf>
      <numFmt numFmtId="19" formatCode="m/d/yyyy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3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01.618074652775" createdVersion="4" refreshedVersion="4" minRefreshableVersion="3" recordCount="1001">
  <cacheSource type="worksheet">
    <worksheetSource name="Table1"/>
  </cacheSource>
  <cacheFields count="23">
    <cacheField name="Order_ID" numFmtId="0">
      <sharedItems containsBlank="1"/>
    </cacheField>
    <cacheField name="Order_Date" numFmtId="14">
      <sharedItems containsDate="1" containsBlank="1" containsMixedTypes="1" minDate="2020-01-01T00:00:00" maxDate="2024-12-29T00:00:00"/>
    </cacheField>
    <cacheField name="Customer_Id" numFmtId="0">
      <sharedItems containsBlank="1"/>
    </cacheField>
    <cacheField name="Customer_Name" numFmtId="0">
      <sharedItems containsBlank="1"/>
    </cacheField>
    <cacheField name="Age" numFmtId="0">
      <sharedItems containsMixedTypes="1" containsNumber="1" containsInteger="1" minValue="-6" maxValue="999"/>
    </cacheField>
    <cacheField name="Gender" numFmtId="0">
      <sharedItems containsBlank="1" count="4">
        <s v="Other"/>
        <s v="Male"/>
        <s v="Female"/>
        <m/>
      </sharedItems>
    </cacheField>
    <cacheField name="Region" numFmtId="0">
      <sharedItems containsBlank="1" count="6">
        <s v="Central"/>
        <s v="West"/>
        <s v="North"/>
        <s v="East"/>
        <s v="South"/>
        <m/>
      </sharedItems>
    </cacheField>
    <cacheField name="City" numFmtId="0">
      <sharedItems containsBlank="1"/>
    </cacheField>
    <cacheField name="Product_Category" numFmtId="0">
      <sharedItems containsBlank="1" count="8">
        <s v="Groceries"/>
        <s v="Beauty"/>
        <s v="Furniture"/>
        <s v="Books"/>
        <s v="Clothing"/>
        <s v="Electronics"/>
        <s v="Sports"/>
        <m/>
      </sharedItems>
    </cacheField>
    <cacheField name="Product_Name" numFmtId="0">
      <sharedItems containsBlank="1" count="43">
        <s v="Sugar"/>
        <s v="Sunscreen"/>
        <s v="Sofa"/>
        <s v="Bed Frame"/>
        <s v="Cooking Oil"/>
        <s v="Self-Help Book"/>
        <s v="Saree"/>
        <s v="Kurta"/>
        <s v="Wardrobe"/>
        <s v="Dal (1kg)"/>
        <s v="Lipstick"/>
        <s v="Cook Book"/>
        <s v="T-Shirt"/>
        <s v="Chair"/>
        <s v="Dress"/>
        <s v="Tablet"/>
        <s v="Jacket"/>
        <s v="Headphones"/>
        <s v="Dumbbells"/>
        <s v="Comic Book"/>
        <s v="Football"/>
        <s v="Laptop"/>
        <s v="Cricket Bat"/>
        <s v="Hair Oil"/>
        <s v="Bookshelf"/>
        <s v="Camera"/>
        <s v="Jeans"/>
        <s v="Tennis Racket"/>
        <s v="Desk"/>
        <s v="Face Cream"/>
        <s v="Fiction Novel"/>
        <s v="Cycle"/>
        <s v="Textbook"/>
        <s v="Smartwatch"/>
        <s v="Rice (5kg)"/>
        <s v="Tea"/>
        <s v="Flour"/>
        <s v="Perfume"/>
        <s v="Yoga Mat"/>
        <s v="Smartphone"/>
        <s v="Biography"/>
        <s v="Shampoo"/>
        <m/>
      </sharedItems>
    </cacheField>
    <cacheField name="Quantity" numFmtId="0">
      <sharedItems containsString="0" containsBlank="1" containsNumber="1" containsInteger="1" minValue="-1" maxValue="999"/>
    </cacheField>
    <cacheField name="Unit_Price  " numFmtId="0">
      <sharedItems containsString="0" containsBlank="1" containsNumber="1" minValue="55.73" maxValue="79286.42"/>
    </cacheField>
    <cacheField name="Discount_Pct" numFmtId="0">
      <sharedItems containsString="0" containsBlank="1" containsNumber="1" minValue="0" maxValue="0.4"/>
    </cacheField>
    <cacheField name="Sales_Amount " numFmtId="0">
      <sharedItems containsString="0" containsBlank="1" containsNumber="1" minValue="72.22" maxValue="822702.48" count="986">
        <n v="4043.14"/>
        <n v="9147.31"/>
        <n v="110156.97"/>
        <n v="262066.11"/>
        <n v="323.95"/>
        <n v="2202.33"/>
        <n v="994.87"/>
        <n v="2140.41"/>
        <n v="2828.82"/>
        <n v="14568.16"/>
        <n v="86997.39"/>
        <n v="379.5"/>
        <n v="567.33000000000004"/>
        <n v="9315.19"/>
        <n v="4824.04"/>
        <n v="144295.18"/>
        <n v="17995.41"/>
        <n v="315130.44"/>
        <n v="10622.32"/>
        <n v="64727.53"/>
        <n v="483408.08"/>
        <n v="61783.199999999997"/>
        <n v="7477.88"/>
        <n v="621.35"/>
        <n v="3224.82"/>
        <n v="29267.25"/>
        <n v="322.86"/>
        <n v="2477.7199999999998"/>
        <n v="671607.78"/>
        <n v="3704.84"/>
        <n v="43346.6"/>
        <n v="3690.09"/>
        <n v="24565.06"/>
        <n v="177754.39"/>
        <n v="3635.51"/>
        <n v="232621.97"/>
        <n v="92924.36"/>
        <n v="1929.4"/>
        <n v="4851.55"/>
        <n v="1810.18"/>
        <n v="191398.26"/>
        <n v="145427.41"/>
        <n v="53911.88"/>
        <n v="36596.17"/>
        <n v="24230.41"/>
        <n v="6596.23"/>
        <n v="44107"/>
        <n v="4582.79"/>
        <n v="1859.03"/>
        <n v="1057.6500000000001"/>
        <n v="49710.43"/>
        <n v="6991.06"/>
        <n v="2026.01"/>
        <n v="867.37"/>
        <n v="89225.91"/>
        <n v="9541.81"/>
        <n v="3597.1"/>
        <n v="2480.54"/>
        <n v="1146.29"/>
        <n v="13365.94"/>
        <n v="6293.66"/>
        <n v="1761.29"/>
        <n v="2660.47"/>
        <n v="51389.35"/>
        <n v="32774.69"/>
        <n v="3687.74"/>
        <n v="4205.92"/>
        <n v="11565.64"/>
        <n v="117568.37"/>
        <n v="443615.41"/>
        <n v="6967.21"/>
        <n v="11304.13"/>
        <n v="30702.91"/>
        <n v="44298.79"/>
        <n v="175476.12"/>
        <n v="4673.0200000000004"/>
        <n v="8396.7900000000009"/>
        <n v="95036.79"/>
        <n v="1026.5"/>
        <n v="100210.97"/>
        <n v="82667.820000000007"/>
        <n v="1159.07"/>
        <n v="937.54"/>
        <n v="32120.84"/>
        <n v="205453.46"/>
        <n v="118164.26"/>
        <n v="173004.24"/>
        <n v="6360.16"/>
        <n v="12757.93"/>
        <n v="149044.85999999999"/>
        <n v="10570.33"/>
        <n v="48184.42"/>
        <n v="73335.009999999995"/>
        <n v="4535.42"/>
        <n v="3730.16"/>
        <n v="2672.61"/>
        <n v="62483.59"/>
        <n v="192150.99"/>
        <n v="188109.47"/>
        <n v="1538.13"/>
        <n v="16031.48"/>
        <n v="3954.73"/>
        <n v="118.23"/>
        <n v="815.36"/>
        <n v="7120.16"/>
        <n v="9673.58"/>
        <n v="172382.02"/>
        <n v="10167.9"/>
        <n v="295286.40999999997"/>
        <n v="97177.38"/>
        <n v="8717.89"/>
        <n v="125.78"/>
        <n v="37888.42"/>
        <n v="1437"/>
        <n v="14206.67"/>
        <n v="26908.32"/>
        <n v="30752.81"/>
        <n v="13993.35"/>
        <n v="57174.239999999998"/>
        <n v="2780.1"/>
        <n v="11756.21"/>
        <n v="7683.45"/>
        <n v="13501.36"/>
        <n v="274607.48"/>
        <n v="99978.26"/>
        <n v="5849.95"/>
        <n v="12884.93"/>
        <n v="1452.88"/>
        <n v="2495.0500000000002"/>
        <n v="144911.63"/>
        <n v="161033.98000000001"/>
        <n v="25494.32"/>
        <n v="167889.68"/>
        <n v="46926.73"/>
        <n v="2632.07"/>
        <n v="916.67"/>
        <n v="39614.949999999997"/>
        <n v="6927.13"/>
        <n v="127833.79"/>
        <n v="111205.03"/>
        <n v="1186.6600000000001"/>
        <n v="2814.83"/>
        <n v="1124.22"/>
        <n v="159421.60999999999"/>
        <n v="39736.74"/>
        <n v="154630.39000000001"/>
        <n v="31129.56"/>
        <n v="92126.76"/>
        <n v="44578.62"/>
        <n v="11296.75"/>
        <n v="30150.799999999999"/>
        <n v="36117.01"/>
        <n v="3040.53"/>
        <n v="218733.7"/>
        <n v="10606.52"/>
        <n v="542100.67000000004"/>
        <n v="520084.41"/>
        <n v="24685.74"/>
        <n v="4769.26"/>
        <n v="313.86"/>
        <n v="1967.1"/>
        <n v="67060.7"/>
        <n v="11632.7"/>
        <n v="7711.33"/>
        <n v="77124.12"/>
        <n v="4811.57"/>
        <n v="28827.02"/>
        <n v="45443.23"/>
        <n v="1423.3"/>
        <n v="295233.56"/>
        <n v="1034.25"/>
        <n v="5037.7700000000004"/>
        <n v="3708.79"/>
        <n v="1477.96"/>
        <n v="1055.0999999999999"/>
        <n v="5546.22"/>
        <n v="9118.6299999999992"/>
        <n v="8306.2900000000009"/>
        <n v="789939.57"/>
        <n v="3702.45"/>
        <n v="2827.28"/>
        <n v="95102.09"/>
        <n v="2706.28"/>
        <n v="157859.91"/>
        <n v="14424.73"/>
        <n v="3344.42"/>
        <n v="9440.7800000000007"/>
        <n v="17159.150000000001"/>
        <n v="1042.72"/>
        <n v="196362.97"/>
        <n v="4735.21"/>
        <n v="9272.7099999999991"/>
        <n v="12502.33"/>
        <n v="18651.13"/>
        <n v="132575.91"/>
        <n v="15191.82"/>
        <n v="218111.79"/>
        <n v="22974.82"/>
        <n v="14584.96"/>
        <n v="120310.49"/>
        <n v="117489.88"/>
        <n v="17609.099999999999"/>
        <n v="286.61"/>
        <n v="4232.71"/>
        <n v="2559.11"/>
        <n v="132743.41"/>
        <n v="22364.16"/>
        <n v="15407.9"/>
        <n v="1375.7"/>
        <n v="12273.11"/>
        <n v="10532.18"/>
        <n v="26055.86"/>
        <n v="3196.43"/>
        <n v="12312.75"/>
        <n v="1735.77"/>
        <n v="23373.24"/>
        <n v="506.19"/>
        <n v="4258.29"/>
        <n v="41177.25"/>
        <n v="13152.75"/>
        <n v="2848.99"/>
        <n v="3807.56"/>
        <n v="804.15"/>
        <n v="25322.69"/>
        <n v="36649.85"/>
        <n v="1080.19"/>
        <n v="885.78"/>
        <n v="998.21"/>
        <n v="174189.34"/>
        <n v="3229.98"/>
        <n v="1201.96"/>
        <n v="465179.21"/>
        <n v="44971.39"/>
        <n v="25255.17"/>
        <n v="13540.41"/>
        <n v="157416.69"/>
        <n v="276.45999999999998"/>
        <n v="9045.1299999999992"/>
        <n v="2258.19"/>
        <n v="21823.19"/>
        <n v="203951.5"/>
        <n v="1006.96"/>
        <n v="8506.99"/>
        <n v="436166.56"/>
        <n v="86042.12"/>
        <n v="1737.45"/>
        <n v="219.23"/>
        <n v="16420.47"/>
        <n v="4097.63"/>
        <n v="79799.460000000006"/>
        <n v="15863.82"/>
        <n v="19375.099999999999"/>
        <n v="613.66"/>
        <n v="207766.8"/>
        <n v="661.09"/>
        <n v="1684.8"/>
        <n v="179.13"/>
        <n v="76494.58"/>
        <n v="3508.11"/>
        <n v="5647.04"/>
        <n v="8376.83"/>
        <n v="110240.96000000001"/>
        <n v="599.16"/>
        <n v="2905.61"/>
        <n v="2475.37"/>
        <n v="9630.16"/>
        <n v="1795.94"/>
        <n v="1658.66"/>
        <n v="9047.98"/>
        <n v="473255.79"/>
        <n v="86.02"/>
        <n v="1769.53"/>
        <n v="28279.75"/>
        <n v="930.33"/>
        <n v="4938.4799999999996"/>
        <n v="4761.71"/>
        <n v="21548.37"/>
        <n v="1011.25"/>
        <n v="12039.52"/>
        <n v="142488.63"/>
        <n v="2873.31"/>
        <n v="54342.29"/>
        <n v="60026.42"/>
        <n v="55550.3"/>
        <n v="9066.91"/>
        <n v="2319.17"/>
        <n v="9458.9500000000007"/>
        <n v="48186.78"/>
        <n v="1362"/>
        <n v="1081.22"/>
        <n v="4358.7299999999996"/>
        <n v="971.77"/>
        <n v="379.18"/>
        <n v="203.41"/>
        <n v="768.3"/>
        <n v="69539.73"/>
        <n v="1927.61"/>
        <n v="1196.1099999999999"/>
        <n v="1193.08"/>
        <n v="8746.39"/>
        <n v="11991.16"/>
        <n v="2333.9899999999998"/>
        <n v="19925.91"/>
        <n v="11602.32"/>
        <n v="63871.89"/>
        <n v="12379.8"/>
        <n v="13665.74"/>
        <n v="1442.88"/>
        <n v="1382.93"/>
        <n v="49034.559999999998"/>
        <n v="5054.28"/>
        <n v="3274.29"/>
        <n v="114501.45"/>
        <n v="368.28"/>
        <n v="1684.76"/>
        <n v="846.36"/>
        <n v="9688.23"/>
        <n v="1927.79"/>
        <n v="200569.38"/>
        <n v="37398.22"/>
        <n v="12800.24"/>
        <n v="15984.43"/>
        <n v="325899.40000000002"/>
        <n v="1214.0999999999999"/>
        <n v="95488.18"/>
        <n v="268632.52"/>
        <n v="1230.6600000000001"/>
        <n v="15432.22"/>
        <n v="6868.24"/>
        <n v="2524.52"/>
        <n v="2755.17"/>
        <n v="392607.23"/>
        <n v="10612"/>
        <n v="15147.36"/>
        <n v="54475.55"/>
        <n v="52202.49"/>
        <n v="9554.34"/>
        <n v="542833.31999999995"/>
        <n v="5098.3999999999996"/>
        <n v="131067.26"/>
        <n v="96948"/>
        <n v="3025.64"/>
        <n v="87823.05"/>
        <n v="8925.0499999999993"/>
        <n v="186628.87"/>
        <n v="658.39"/>
        <n v="1563.91"/>
        <n v="1620.42"/>
        <n v="12279.25"/>
        <n v="2253.34"/>
        <n v="7425.11"/>
        <n v="65319.25"/>
        <n v="5762.75"/>
        <n v="1116.3800000000001"/>
        <n v="88956.71"/>
        <n v="51174.21"/>
        <n v="175761.72"/>
        <n v="11495.42"/>
        <n v="3219.24"/>
        <n v="66340.960000000006"/>
        <n v="762.89"/>
        <n v="5426.75"/>
        <n v="54768.47"/>
        <n v="13934.11"/>
        <n v="8729.66"/>
        <n v="58868.95"/>
        <n v="3201.22"/>
        <n v="45729.43"/>
        <n v="5992.24"/>
        <n v="23093.119999999999"/>
        <n v="578.97"/>
        <n v="1055.3399999999999"/>
        <n v="7234.13"/>
        <n v="107608.01"/>
        <n v="2115.7399999999998"/>
        <n v="100.14"/>
        <n v="33725.89"/>
        <n v="8038.79"/>
        <n v="21239.19"/>
        <n v="26178.67"/>
        <n v="25039.19"/>
        <n v="31618.79"/>
        <n v="9963.8700000000008"/>
        <n v="63905.82"/>
        <n v="8220.0400000000009"/>
        <n v="17177.150000000001"/>
        <n v="55004.13"/>
        <n v="4394.74"/>
        <n v="7920.13"/>
        <n v="2363.6999999999998"/>
        <n v="20953.37"/>
        <n v="359.88"/>
        <n v="5241.79"/>
        <n v="20195.66"/>
        <n v="6220.68"/>
        <n v="19652.060000000001"/>
        <n v="35266.769999999997"/>
        <n v="53611.5"/>
        <n v="15244.18"/>
        <n v="2058.59"/>
        <n v="3624.78"/>
        <n v="911.76"/>
        <n v="4400.47"/>
        <n v="778.16"/>
        <n v="414.31"/>
        <n v="119013.87"/>
        <n v="2937.26"/>
        <n v="10154.82"/>
        <n v="627898.81000000006"/>
        <n v="2822.23"/>
        <n v="9893.9699999999993"/>
        <n v="57905.39"/>
        <n v="6367.6"/>
        <n v="2443.04"/>
        <n v="175402.71"/>
        <n v="13036.59"/>
        <n v="6175.08"/>
        <n v="236017.16"/>
        <n v="128001.22"/>
        <n v="1272.71"/>
        <n v="21680.07"/>
        <n v="171768.97"/>
        <n v="18790.52"/>
        <n v="3579.91"/>
        <n v="6777.56"/>
        <n v="957.41"/>
        <n v="5162.57"/>
        <n v="2265.2800000000002"/>
        <n v="81951.13"/>
        <n v="12103.46"/>
        <n v="89828.71"/>
        <n v="44683.38"/>
        <n v="189614.18"/>
        <n v="385580.53"/>
        <n v="2961.7"/>
        <n v="446345.61"/>
        <n v="902.31"/>
        <n v="373.9"/>
        <n v="553.5"/>
        <n v="80865.399999999994"/>
        <n v="188221.16"/>
        <n v="4690.45"/>
        <n v="1997.66"/>
        <n v="29090.53"/>
        <n v="9249.06"/>
        <n v="7223.61"/>
        <n v="283224.55"/>
        <n v="8294.2999999999993"/>
        <n v="15164.38"/>
        <n v="3584.88"/>
        <n v="130268.18"/>
        <n v="10411.35"/>
        <n v="180888.8"/>
        <n v="12188.57"/>
        <n v="2491.46"/>
        <n v="191258.73"/>
        <n v="14719.17"/>
        <n v="86000.34"/>
        <n v="5747.77"/>
        <n v="1449.86"/>
        <n v="197546.47"/>
        <n v="3192.22"/>
        <n v="182018.37"/>
        <n v="1215.29"/>
        <n v="31528.73"/>
        <n v="1586.7"/>
        <n v="12705.04"/>
        <n v="13208.25"/>
        <n v="1040.24"/>
        <n v="176221.6"/>
        <n v="3554.23"/>
        <n v="5294.75"/>
        <n v="247342.73"/>
        <n v="14616.34"/>
        <n v="19204"/>
        <n v="54877.82"/>
        <n v="2271.48"/>
        <n v="13694.75"/>
        <n v="1209"/>
        <n v="53652.43"/>
        <n v="20228.5"/>
        <n v="9412.99"/>
        <n v="4360.6899999999996"/>
        <n v="3766.06"/>
        <n v="3679.38"/>
        <n v="5878.72"/>
        <n v="2804.09"/>
        <n v="1665.43"/>
        <n v="4784.7"/>
        <n v="105694.63"/>
        <n v="258.54000000000002"/>
        <n v="855.21"/>
        <n v="1270.29"/>
        <n v="35409.06"/>
        <n v="5186.09"/>
        <n v="13938.43"/>
        <n v="2825.92"/>
        <n v="15281.74"/>
        <n v="3326.03"/>
        <n v="221219.87"/>
        <n v="2408.87"/>
        <n v="202708.19"/>
        <n v="161990.01"/>
        <n v="271257.62"/>
        <n v="1424.19"/>
        <n v="79749.850000000006"/>
        <n v="281237.44"/>
        <n v="523395.38"/>
        <n v="106383.22"/>
        <n v="4643.97"/>
        <n v="154037.82999999999"/>
        <n v="1426.02"/>
        <n v="531.13"/>
        <n v="32366.71"/>
        <n v="50301.08"/>
        <n v="7459.65"/>
        <n v="51661.63"/>
        <n v="215673.94"/>
        <n v="8259.5300000000007"/>
        <n v="2046.31"/>
        <n v="47607.55"/>
        <n v="31426.55"/>
        <n v="10108.14"/>
        <n v="1022.04"/>
        <n v="647259.03"/>
        <n v="1431.69"/>
        <n v="1491.46"/>
        <n v="9678.82"/>
        <n v="3186.03"/>
        <n v="5100.96"/>
        <n v="325.22000000000003"/>
        <n v="51448.04"/>
        <n v="268.86"/>
        <n v="61642.35"/>
        <n v="5619.07"/>
        <n v="57299.76"/>
        <n v="8709.27"/>
        <n v="560.42999999999995"/>
        <n v="539.57000000000005"/>
        <n v="18524.57"/>
        <n v="2826.56"/>
        <n v="14916.43"/>
        <n v="79433.81"/>
        <n v="39215.89"/>
        <n v="475250.99"/>
        <n v="21297.23"/>
        <n v="618.29"/>
        <n v="482509.98"/>
        <n v="216.04"/>
        <n v="22647.02"/>
        <n v="11764.77"/>
        <n v="10118.86"/>
        <n v="2606.02"/>
        <n v="66009.55"/>
        <n v="2656.34"/>
        <n v="31229.97"/>
        <n v="11714.4"/>
        <n v="371584.08"/>
        <n v="14790.65"/>
        <n v="2139.34"/>
        <n v="1186.6300000000001"/>
        <n v="2163.54"/>
        <n v="30857.19"/>
        <n v="2790.47"/>
        <n v="25140.26"/>
        <n v="14376.69"/>
        <n v="132.26"/>
        <n v="5867.49"/>
        <n v="4117.6000000000004"/>
        <n v="103163.26"/>
        <n v="8975.56"/>
        <n v="1867.03"/>
        <n v="52648.79"/>
        <n v="9293.85"/>
        <n v="12021.65"/>
        <n v="9663.61"/>
        <n v="32632.91"/>
        <n v="84123.31"/>
        <n v="1593.89"/>
        <n v="16558.810000000001"/>
        <n v="47758.51"/>
        <n v="14780.74"/>
        <n v="356477.73"/>
        <n v="10729.59"/>
        <n v="68948.2"/>
        <n v="6658.21"/>
        <n v="6564.17"/>
        <n v="18619.849999999999"/>
        <n v="4385.2700000000004"/>
        <n v="3493.62"/>
        <n v="1379.32"/>
        <n v="5331.18"/>
        <n v="98825.46"/>
        <n v="960.99"/>
        <n v="204235.41"/>
        <n v="3402.85"/>
        <n v="123743.08"/>
        <n v="1754.21"/>
        <n v="251225.51"/>
        <n v="4033.47"/>
        <n v="22682.85"/>
        <n v="2217.29"/>
        <n v="3776.1"/>
        <n v="1538.2"/>
        <n v="1072.27"/>
        <n v="6095.48"/>
        <n v="11448.61"/>
        <n v="1106.02"/>
        <n v="157002.59"/>
        <n v="571655.9"/>
        <n v="66859.47"/>
        <n v="699.17"/>
        <n v="8503.76"/>
        <n v="14214.4"/>
        <n v="3842.87"/>
        <n v="1958.29"/>
        <n v="7769.9"/>
        <n v="2171.58"/>
        <n v="3628.96"/>
        <n v="2966.57"/>
        <n v="30187.27"/>
        <n v="39508.65"/>
        <n v="19360.650000000001"/>
        <n v="538833.63"/>
        <n v="3724.57"/>
        <n v="25389.56"/>
        <n v="90019.76"/>
        <n v="2271.02"/>
        <n v="154095.35999999999"/>
        <n v="4599.3500000000004"/>
        <n v="564.98"/>
        <n v="14005.89"/>
        <n v="73166.710000000006"/>
        <n v="34892.589999999997"/>
        <n v="25267.42"/>
        <n v="5920.27"/>
        <n v="436216.85"/>
        <n v="15452.12"/>
        <n v="353527.87"/>
        <n v="1278.54"/>
        <n v="4268.95"/>
        <n v="2751.04"/>
        <n v="281133.53999999998"/>
        <n v="23548.92"/>
        <n v="3183.79"/>
        <n v="643.64"/>
        <n v="10840.71"/>
        <n v="95994.28"/>
        <n v="63975.839999999997"/>
        <n v="44053.34"/>
        <n v="3566.39"/>
        <n v="28327.7"/>
        <n v="11315.53"/>
        <n v="5621.99"/>
        <n v="51680.51"/>
        <n v="4790.25"/>
        <n v="1828.13"/>
        <n v="9882.2000000000007"/>
        <n v="26237.94"/>
        <n v="238162.29"/>
        <n v="18096.43"/>
        <n v="9330.68"/>
        <n v="1032.77"/>
        <n v="8461.81"/>
        <n v="1015.04"/>
        <n v="10495.02"/>
        <n v="21348.67"/>
        <n v="78608.45"/>
        <n v="435.55"/>
        <n v="35739.9"/>
        <n v="1288.33"/>
        <n v="1246.04"/>
        <n v="2819.84"/>
        <n v="818.88"/>
        <n v="130564.4"/>
        <n v="106448.38"/>
        <n v="266029.05"/>
        <n v="80565.98"/>
        <n v="429.47"/>
        <n v="5511.95"/>
        <n v="99575.7"/>
        <n v="400648.58"/>
        <n v="53952.69"/>
        <n v="9605.16"/>
        <n v="17024.05"/>
        <n v="3695.81"/>
        <n v="19963.259999999998"/>
        <n v="186136.9"/>
        <n v="14243.78"/>
        <n v="145274.42000000001"/>
        <n v="5679.24"/>
        <n v="1373.62"/>
        <n v="42758.89"/>
        <n v="3015.82"/>
        <n v="1938.25"/>
        <n v="664.52"/>
        <n v="24539.81"/>
        <n v="1026.6500000000001"/>
        <n v="3569.04"/>
        <n v="10694.49"/>
        <n v="1734.31"/>
        <n v="6753.1"/>
        <n v="9976.2800000000007"/>
        <n v="7659.05"/>
        <n v="7375.32"/>
        <n v="173570.72"/>
        <n v="22350.68"/>
        <n v="2492.5500000000002"/>
        <n v="30208.26"/>
        <n v="1723.9"/>
        <n v="10169.91"/>
        <n v="5253.1"/>
        <n v="891.35"/>
        <n v="159763.82"/>
        <n v="3659.71"/>
        <n v="3507.4"/>
        <n v="1896.15"/>
        <n v="1455"/>
        <n v="185665.67"/>
        <n v="179559.91"/>
        <n v="1205.28"/>
        <n v="248755.47"/>
        <n v="1216.57"/>
        <n v="1052.33"/>
        <n v="1249.54"/>
        <n v="47812.7"/>
        <n v="68019.81"/>
        <n v="5862.96"/>
        <n v="90617.58"/>
        <n v="7343.37"/>
        <n v="138458.15"/>
        <n v="6552.28"/>
        <n v="258421.55"/>
        <n v="9023.4"/>
        <n v="101289.99"/>
        <n v="6567.18"/>
        <n v="189801.32"/>
        <n v="259751.74"/>
        <n v="270538.05"/>
        <n v="374026.43"/>
        <n v="6923.51"/>
        <n v="817.39"/>
        <n v="16571.32"/>
        <n v="5170.4799999999996"/>
        <n v="32461.48"/>
        <n v="165469.13"/>
        <n v="728.29"/>
        <n v="3296.41"/>
        <n v="270.5"/>
        <n v="102410.73"/>
        <n v="3271.29"/>
        <n v="128843.9"/>
        <n v="16660.91"/>
        <n v="2369.15"/>
        <n v="190620.36"/>
        <n v="6527.94"/>
        <n v="1813.71"/>
        <n v="9242.24"/>
        <n v="7720.71"/>
        <n v="212011.56"/>
        <n v="102960.53"/>
        <n v="1821.82"/>
        <n v="245.84"/>
        <n v="29990.07"/>
        <n v="1417.4"/>
        <n v="6238.78"/>
        <n v="255.27"/>
        <n v="11417.09"/>
        <n v="5755.36"/>
        <n v="1805.25"/>
        <n v="2878.52"/>
        <n v="2123.41"/>
        <n v="3460.81"/>
        <n v="1631.61"/>
        <n v="267856.83"/>
        <n v="113953.25"/>
        <n v="22421.86"/>
        <n v="8461.34"/>
        <n v="616.48"/>
        <n v="24706.43"/>
        <n v="8547.02"/>
        <n v="1360.85"/>
        <n v="1255.8499999999999"/>
        <n v="77559.67"/>
        <n v="4890.43"/>
        <n v="11604.33"/>
        <n v="2772.19"/>
        <n v="238669.42"/>
        <n v="11834.57"/>
        <n v="3369.84"/>
        <n v="449.09"/>
        <n v="29639.22"/>
        <n v="11967.15"/>
        <n v="1825.08"/>
        <n v="2079.81"/>
        <n v="53077.760000000002"/>
        <n v="4064.17"/>
        <n v="10464.16"/>
        <n v="183102.21"/>
        <n v="12167.28"/>
        <n v="240.6"/>
        <n v="148714.97"/>
        <n v="3424.01"/>
        <n v="7291.61"/>
        <n v="3056.64"/>
        <n v="9475.19"/>
        <n v="4007.33"/>
        <n v="67291.55"/>
        <n v="208563.97"/>
        <n v="858.05"/>
        <n v="2308.0500000000002"/>
        <n v="182249.65"/>
        <n v="592.57000000000005"/>
        <n v="5967.23"/>
        <n v="2211.38"/>
        <n v="368280.67"/>
        <n v="1341.05"/>
        <n v="122018.19"/>
        <n v="61837.22"/>
        <n v="148143.49"/>
        <n v="977.56"/>
        <n v="2110.73"/>
        <n v="2484.7800000000002"/>
        <n v="7119.27"/>
        <n v="1074.27"/>
        <n v="748589.49"/>
        <n v="44932.24"/>
        <n v="3057.58"/>
        <n v="515.74"/>
        <n v="456663.98"/>
        <n v="13804.56"/>
        <n v="344.42"/>
        <n v="195002.92"/>
        <n v="1605.72"/>
        <n v="72.22"/>
        <n v="49127.13"/>
        <n v="103626.93"/>
        <n v="1450.96"/>
        <n v="6671.63"/>
        <n v="6186.65"/>
        <n v="991.85"/>
        <n v="124055.48"/>
        <n v="3268.13"/>
        <n v="775.04"/>
        <n v="2368.54"/>
        <n v="10354.540000000001"/>
        <n v="2646.86"/>
        <n v="8777.25"/>
        <n v="31838.58"/>
        <n v="8709.8799999999992"/>
        <n v="63872.39"/>
        <n v="2675.94"/>
        <n v="14896.36"/>
        <n v="169372.37"/>
        <n v="20552.2"/>
        <n v="281102.55"/>
        <n v="42140.22"/>
        <n v="5866.43"/>
        <n v="2857.33"/>
        <n v="15450.95"/>
        <n v="3563.24"/>
        <n v="60345.97"/>
        <n v="9018.0300000000007"/>
        <n v="1306.8599999999999"/>
        <n v="2711.94"/>
        <n v="7577.9"/>
        <n v="9585.11"/>
        <n v="854.73"/>
        <n v="9558.85"/>
        <n v="33590.83"/>
        <n v="101185.85"/>
        <n v="28783.41"/>
        <n v="5688.97"/>
        <n v="1432.65"/>
        <n v="969.44"/>
        <n v="15129.46"/>
        <n v="163008.07999999999"/>
        <n v="106749.94"/>
        <n v="600.84"/>
        <n v="90858.69"/>
        <n v="43871.43"/>
        <n v="632.16999999999996"/>
        <n v="145.65"/>
        <n v="4033.84"/>
        <n v="3117.15"/>
        <n v="33795.379999999997"/>
        <n v="5754.84"/>
        <n v="17734.88"/>
        <n v="128078.44"/>
        <n v="660.97"/>
        <n v="6213.65"/>
        <n v="9449.3700000000008"/>
        <n v="3896.02"/>
        <n v="300897.34999999998"/>
        <n v="13573.13"/>
        <n v="1284.6300000000001"/>
        <n v="344.18"/>
        <n v="1929.18"/>
        <n v="55070.91"/>
        <n v="203704.25"/>
        <n v="7442.31"/>
        <n v="4502.68"/>
        <n v="1005.23"/>
        <n v="420.97"/>
        <n v="79710.679999999993"/>
        <n v="13960.24"/>
        <n v="4278.59"/>
        <n v="7801.91"/>
        <n v="7257.03"/>
        <n v="574.20000000000005"/>
        <n v="485.28"/>
        <n v="678.92"/>
        <n v="2627.87"/>
        <n v="188453.46"/>
        <n v="862.61"/>
        <n v="70662.81"/>
        <n v="12588.84"/>
        <n v="480.61"/>
        <n v="87226.55"/>
        <n v="13846.15"/>
        <n v="81467.429999999993"/>
        <n v="64012.37"/>
        <n v="36168.33"/>
        <n v="5850.88"/>
        <n v="11519.71"/>
        <n v="8585.93"/>
        <n v="6223.33"/>
        <n v="537.64"/>
        <n v="52222.52"/>
        <n v="2055.62"/>
        <n v="2416.41"/>
        <n v="10957.9"/>
        <n v="21400.720000000001"/>
        <n v="12023.58"/>
        <n v="1721.22"/>
        <n v="2226.94"/>
        <n v="1113.01"/>
        <n v="1085.19"/>
        <n v="937.39"/>
        <n v="157351.1"/>
        <n v="43004.45"/>
        <n v="377991.95"/>
        <n v="2459.79"/>
        <n v="4745.09"/>
        <n v="187015.17"/>
        <n v="375.59"/>
        <n v="289044.77"/>
        <n v="13435.71"/>
        <n v="775.74"/>
        <n v="1632.98"/>
        <n v="12971.64"/>
        <n v="68016.240000000005"/>
        <n v="237087.2"/>
        <n v="53090.46"/>
        <n v="113358.26"/>
        <n v="8445.01"/>
        <n v="7728.92"/>
        <n v="9456.02"/>
        <n v="4481.5600000000004"/>
        <n v="1669.01"/>
        <n v="15369.71"/>
        <n v="341316.69"/>
        <n v="112518.3"/>
        <n v="62813.98"/>
        <n v="822702.48"/>
        <n v="907.65"/>
        <n v="82824.149999999994"/>
        <n v="175.14"/>
        <n v="26028.1"/>
        <n v="300720.71999999997"/>
        <n v="208512.34"/>
        <n v="62547.07"/>
        <n v="46089.54"/>
        <n v="5526.04"/>
        <n v="19680.419999999998"/>
        <n v="5735.84"/>
        <n v="1329.23"/>
        <n v="9425.16"/>
        <n v="14092.58"/>
        <n v="6393.22"/>
        <n v="84559.35"/>
        <n v="89199.08"/>
        <n v="235156.16"/>
        <n v="9257.42"/>
        <n v="8793.4599999999991"/>
        <m/>
      </sharedItems>
    </cacheField>
    <cacheField name="Profit  " numFmtId="0">
      <sharedItems containsString="0" containsBlank="1" containsNumber="1" minValue="7.37" maxValue="133297.06" count="986">
        <n v="289.18"/>
        <n v="5355.56"/>
        <n v="36956.51"/>
        <n v="66644.990000000005"/>
        <n v="31.38"/>
        <n v="964.66"/>
        <n v="375.07"/>
        <n v="717.27"/>
        <n v="1338.88"/>
        <n v="4173.45"/>
        <n v="14762.22"/>
        <n v="24.26"/>
        <n v="305.64999999999998"/>
        <n v="4336.3100000000004"/>
        <n v="2277.4"/>
        <n v="50995.28"/>
        <n v="6453.4"/>
        <n v="53808.65"/>
        <n v="4837.79"/>
        <n v="18067.63"/>
        <n v="36816.910000000003"/>
        <n v="10099.620000000001"/>
        <n v="3606.99"/>
        <n v="290.89999999999998"/>
        <n v="991.03"/>
        <n v="6330.95"/>
        <n v="21.37"/>
        <n v="795.65"/>
        <n v="86070.79"/>
        <n v="1269.07"/>
        <n v="8443.99"/>
        <n v="1777.76"/>
        <n v="5814.79"/>
        <n v="20320.939999999999"/>
        <n v="1854.28"/>
        <n v="36091.769999999997"/>
        <n v="27403.47"/>
        <n v="819.7"/>
        <n v="1799.06"/>
        <n v="903.99"/>
        <n v="59116.34"/>
        <n v="40739.980000000003"/>
        <n v="13232.77"/>
        <n v="11271.87"/>
        <n v="7321.53"/>
        <n v="2649.2"/>
        <n v="3355.55"/>
        <n v="2037.5"/>
        <n v="840.29"/>
        <n v="87.14"/>
        <n v="13744.26"/>
        <n v="2963.48"/>
        <n v="104.43"/>
        <n v="335.66"/>
        <n v="14474.33"/>
        <n v="2543.29"/>
        <n v="1076.9100000000001"/>
        <n v="866.5"/>
        <n v="520.99"/>
        <n v="2741.49"/>
        <n v="1165.6300000000001"/>
        <n v="922.64"/>
        <n v="1061.94"/>
        <n v="9844.24"/>
        <n v="3797.24"/>
        <n v="1423.3"/>
        <n v="1377.84"/>
        <n v="3358.13"/>
        <n v="33050.92"/>
        <n v="48368.13"/>
        <n v="1809.32"/>
        <n v="3661.21"/>
        <n v="10062.41"/>
        <n v="4132.26"/>
        <n v="19809.16"/>
        <n v="1513.25"/>
        <n v="1584.03"/>
        <n v="29818.97"/>
        <n v="410.28"/>
        <n v="34252.99"/>
        <n v="28762.52"/>
        <n v="84.35"/>
        <n v="470.99"/>
        <n v="6215.4"/>
        <n v="25286.68"/>
        <n v="40660.47"/>
        <n v="45465.04"/>
        <n v="1203.75"/>
        <n v="3852.39"/>
        <n v="39164.43"/>
        <n v="4011.83"/>
        <n v="9832.73"/>
        <n v="17930.25"/>
        <n v="950.65"/>
        <n v="1635.73"/>
        <n v="214.05"/>
        <n v="10563.05"/>
        <n v="23288.67"/>
        <n v="45753.79"/>
        <n v="492.45"/>
        <n v="5072.13"/>
        <n v="2230.94"/>
        <n v="9.75"/>
        <n v="66.150000000000006"/>
        <n v="2589.16"/>
        <n v="3783"/>
        <n v="22319.7"/>
        <n v="5411.76"/>
        <n v="33436.120000000003"/>
        <n v="24424.83"/>
        <n v="3265.49"/>
        <n v="8.9"/>
        <n v="6107.6"/>
        <n v="155.72999999999999"/>
        <n v="3578.76"/>
        <n v="8716.81"/>
        <n v="7374.96"/>
        <n v="2992.91"/>
        <n v="15202.22"/>
        <n v="223.65"/>
        <n v="7295.66"/>
        <n v="2086.59"/>
        <n v="3908.34"/>
        <n v="23542.83"/>
        <n v="21558.18"/>
        <n v="1406.77"/>
        <n v="2796.07"/>
        <n v="604.80999999999995"/>
        <n v="1142.99"/>
        <n v="54404.2"/>
        <n v="22669.85"/>
        <n v="6649.59"/>
        <n v="16722.18"/>
        <n v="14349.22"/>
        <n v="1165.8900000000001"/>
        <n v="373.51"/>
        <n v="7458.02"/>
        <n v="1997.74"/>
        <n v="12280.09"/>
        <n v="13533.76"/>
        <n v="470.96"/>
        <n v="1625.95"/>
        <n v="289.25"/>
        <n v="15597.31"/>
        <n v="15719.62"/>
        <n v="18946.95"/>
        <n v="7042.29"/>
        <n v="24089.4"/>
        <n v="10260.620000000001"/>
        <n v="4828.37"/>
        <n v="8534.61"/>
        <n v="8077.49"/>
        <n v="976.28"/>
        <n v="59861.82"/>
        <n v="4315.91"/>
        <n v="80671.009999999995"/>
        <n v="94437.03"/>
        <n v="5146.1000000000004"/>
        <n v="1796.21"/>
        <n v="22.71"/>
        <n v="719.18"/>
        <n v="9998.89"/>
        <n v="4863.95"/>
        <n v="3255"/>
        <n v="20197.939999999999"/>
        <n v="1286.23"/>
        <n v="8270.7999999999993"/>
        <n v="11573.16"/>
        <n v="458.44"/>
        <n v="40519.72"/>
        <n v="466.16"/>
        <n v="1061.82"/>
        <n v="1138.78"/>
        <n v="435.14"/>
        <n v="81.38"/>
        <n v="2019.44"/>
        <n v="3919.89"/>
        <n v="916.95"/>
        <n v="58250.48"/>
        <n v="265.27999999999997"/>
        <n v="858.56"/>
        <n v="29222.3"/>
        <n v="896.42"/>
        <n v="48496.37"/>
        <n v="7388.44"/>
        <n v="1765.61"/>
        <n v="3804.23"/>
        <n v="4525.93"/>
        <n v="281.95"/>
        <n v="27495.56"/>
        <n v="1174.5899999999999"/>
        <n v="1339.4"/>
        <n v="5924.88"/>
        <n v="4543.72"/>
        <n v="31097.38"/>
        <n v="5083.3"/>
        <n v="24902.1"/>
        <n v="4866.53"/>
        <n v="5325.39"/>
        <n v="28867.05"/>
        <n v="14930.93"/>
        <n v="8544.51"/>
        <n v="137.44999999999999"/>
        <n v="408.89"/>
        <n v="756.36"/>
        <n v="29427.55"/>
        <n v="8609.23"/>
        <n v="5412.09"/>
        <n v="128.93"/>
        <n v="5629.65"/>
        <n v="5257.88"/>
        <n v="5488.23"/>
        <n v="1291.0999999999999"/>
        <n v="2055.13"/>
        <n v="683.51"/>
        <n v="7410.64"/>
        <n v="44.82"/>
        <n v="1724.59"/>
        <n v="3874.92"/>
        <n v="5208.9399999999996"/>
        <n v="1431.62"/>
        <n v="1281.8399999999999"/>
        <n v="359.5"/>
        <n v="10654.04"/>
        <n v="6203.2"/>
        <n v="98.81"/>
        <n v="369.77"/>
        <n v="61.22"/>
        <n v="24923.4"/>
        <n v="1218.3900000000001"/>
        <n v="569.48"/>
        <n v="56612.46"/>
        <n v="10004.34"/>
        <n v="3570.94"/>
        <n v="5111.1099999999997"/>
        <n v="50425.99"/>
        <n v="18.11"/>
        <n v="1640.8"/>
        <n v="189.8"/>
        <n v="4574.82"/>
        <n v="80603.27"/>
        <n v="616.53"/>
        <n v="2610.08"/>
        <n v="54481.93"/>
        <n v="11876.13"/>
        <n v="685.06"/>
        <n v="17.73"/>
        <n v="5291.08"/>
        <n v="1857.23"/>
        <n v="13093.99"/>
        <n v="5048.54"/>
        <n v="2879.15"/>
        <n v="243.99"/>
        <n v="19874.73"/>
        <n v="247.72"/>
        <n v="760.63"/>
        <n v="19.37"/>
        <n v="10883.34"/>
        <n v="1237.0899999999999"/>
        <n v="1896.58"/>
        <n v="3013.79"/>
        <n v="11080.86"/>
        <n v="276.45999999999998"/>
        <n v="1079.08"/>
        <n v="175.94"/>
        <n v="2953.14"/>
        <n v="565.89"/>
        <n v="140.16"/>
        <n v="4337.88"/>
        <n v="56343.87"/>
        <n v="8.27"/>
        <n v="149.16"/>
        <n v="5506.48"/>
        <n v="66.45"/>
        <n v="534.97"/>
        <n v="1237.08"/>
        <n v="6137.14"/>
        <n v="422.66"/>
        <n v="4140.53"/>
        <n v="20643.55"/>
        <n v="1040.42"/>
        <n v="12305.07"/>
        <n v="15012.25"/>
        <n v="11352.36"/>
        <n v="3755.8"/>
        <n v="1351.82"/>
        <n v="4920.3500000000004"/>
        <n v="5073.5"/>
        <n v="107.89"/>
        <n v="412.61"/>
        <n v="1526.73"/>
        <n v="443.38"/>
        <n v="169.93"/>
        <n v="13.82"/>
        <n v="50.26"/>
        <n v="14673.82"/>
        <n v="588.73"/>
        <n v="116.49"/>
        <n v="80.930000000000007"/>
        <n v="3436.69"/>
        <n v="1852.66"/>
        <n v="964.12"/>
        <n v="8625.6200000000008"/>
        <n v="4308.95"/>
        <n v="16676.939999999999"/>
        <n v="4098.1499999999996"/>
        <n v="2472.59"/>
        <n v="531.29999999999995"/>
        <n v="529.71"/>
        <n v="5764.27"/>
        <n v="2136.9"/>
        <n v="294.88"/>
        <n v="25731.03"/>
        <n v="36.06"/>
        <n v="667.36"/>
        <n v="364.43"/>
        <n v="2614.25"/>
        <n v="96.62"/>
        <n v="24313.05"/>
        <n v="4824.74"/>
        <n v="1753.15"/>
        <n v="3578.22"/>
        <n v="40690.870000000003"/>
        <n v="697.82"/>
        <n v="21101.52"/>
        <n v="31422.9"/>
        <n v="529.41999999999996"/>
        <n v="4651.88"/>
        <n v="1599.65"/>
        <n v="1241.47"/>
        <n v="1528.85"/>
        <n v="38045.24"/>
        <n v="3459.74"/>
        <n v="3020.39"/>
        <n v="5497.55"/>
        <n v="17999.97"/>
        <n v="2463.9499999999998"/>
        <n v="79755.17"/>
        <n v="1728.64"/>
        <n v="15238.43"/>
        <n v="11975.81"/>
        <n v="1294.96"/>
        <n v="26550.31"/>
        <n v="3776.97"/>
        <n v="20981.15"/>
        <n v="27.25"/>
        <n v="630.51"/>
        <n v="414.75"/>
        <n v="4018.97"/>
        <n v="170.8"/>
        <n v="2123.71"/>
        <n v="13727.44"/>
        <n v="2735.24"/>
        <n v="71.67"/>
        <n v="26211.15"/>
        <n v="14093.89"/>
        <n v="23971.25"/>
        <n v="3680.34"/>
        <n v="244.77"/>
        <n v="13106.07"/>
        <n v="271.36"/>
        <n v="1694.29"/>
        <n v="12390.55"/>
        <n v="4142.9399999999996"/>
        <n v="2532.61"/>
        <n v="12406.43"/>
        <n v="939.71"/>
        <n v="18565.86"/>
        <n v="654.29"/>
        <n v="8164.97"/>
        <n v="183.45"/>
        <n v="91.59"/>
        <n v="3527.5"/>
        <n v="16935.060000000001"/>
        <n v="795.3"/>
        <n v="7.46"/>
        <n v="4708.0600000000004"/>
        <n v="3691.88"/>
        <n v="3446.13"/>
        <n v="6071.72"/>
        <n v="6611.41"/>
        <n v="13674.74"/>
        <n v="2386.31"/>
        <n v="18612.63"/>
        <n v="2666.27"/>
        <n v="4949.58"/>
        <n v="13825.48"/>
        <n v="1235.03"/>
        <n v="4381.82"/>
        <n v="904.82"/>
        <n v="7949.05"/>
        <n v="172.3"/>
        <n v="1716.01"/>
        <n v="11817.43"/>
        <n v="1706.13"/>
        <n v="5128.8900000000003"/>
        <n v="8167.38"/>
        <n v="4184.2299999999996"/>
        <n v="5378.75"/>
        <n v="942.39"/>
        <n v="896.12"/>
        <n v="328.33"/>
        <n v="2125.89"/>
        <n v="263.81"/>
        <n v="32.520000000000003"/>
        <n v="32585.16"/>
        <n v="723.88"/>
        <n v="3046.85"/>
        <n v="86690.85"/>
        <n v="1322.69"/>
        <n v="3171.49"/>
        <n v="13844.42"/>
        <n v="1841.64"/>
        <n v="649.16"/>
        <n v="20772.79"/>
        <n v="6081.67"/>
        <n v="1771.61"/>
        <n v="68746.179999999993"/>
        <n v="25740.07"/>
        <n v="511.96"/>
        <n v="11667.37"/>
        <n v="27234.01"/>
        <n v="7715.18"/>
        <n v="1891.54"/>
        <n v="2396.7199999999998"/>
        <n v="235.48"/>
        <n v="1875.62"/>
        <n v="178.59"/>
        <n v="15952.26"/>
        <n v="3618.98"/>
        <n v="25898.31"/>
        <n v="3420.51"/>
        <n v="42435.49"/>
        <n v="28776.57"/>
        <n v="1317.61"/>
        <n v="61437.599999999999"/>
        <n v="591.14"/>
        <n v="76.010000000000005"/>
        <n v="48.28"/>
        <n v="14166.32"/>
        <n v="17116.650000000001"/>
        <n v="1146.5999999999999"/>
        <n v="139.6"/>
        <n v="4498.07"/>
        <n v="1686.4"/>
        <n v="2224.5100000000002"/>
        <n v="33093.14"/>
        <n v="2144.64"/>
        <n v="3544.74"/>
        <n v="1270.1600000000001"/>
        <n v="18524"/>
        <n v="2723.2"/>
        <n v="18318.66"/>
        <n v="2948.45"/>
        <n v="268.35000000000002"/>
        <n v="53878.3"/>
        <n v="4154.01"/>
        <n v="18267.52"/>
        <n v="2669"/>
        <n v="562.04"/>
        <n v="21532.46"/>
        <n v="355.63"/>
        <n v="19016.37"/>
        <n v="77.92"/>
        <n v="5997.64"/>
        <n v="154.07"/>
        <n v="3529.2"/>
        <n v="3174.45"/>
        <n v="423.7"/>
        <n v="21453.69"/>
        <n v="1923.48"/>
        <n v="1738.46"/>
        <n v="30449.06"/>
        <n v="5360.81"/>
        <n v="9210.86"/>
        <n v="12900.73"/>
        <n v="1315.77"/>
        <n v="1856.34"/>
        <n v="600.88"/>
        <n v="18467.900000000001"/>
        <n v="3894.99"/>
        <n v="4806.7700000000004"/>
        <n v="1812.7"/>
        <n v="1284.73"/>
        <n v="1422.56"/>
        <n v="1895.88"/>
        <n v="1009.57"/>
        <n v="193.99"/>
        <n v="1051.2"/>
        <n v="11127.91"/>
        <n v="16.670000000000002"/>
        <n v="70.3"/>
        <n v="110.96"/>
        <n v="17485.080000000002"/>
        <n v="2331.2600000000002"/>
        <n v="5273.14"/>
        <n v="1777.23"/>
        <n v="8565.14"/>
        <n v="1139.23"/>
        <n v="28168.080000000002"/>
        <n v="1153.68"/>
        <n v="27362.05"/>
        <n v="51700.42"/>
        <n v="14499.23"/>
        <n v="496.68"/>
        <n v="20899.580000000002"/>
        <n v="26659.17"/>
        <n v="62065.82"/>
        <n v="8562.92"/>
        <n v="1923.83"/>
        <n v="40170.160000000003"/>
        <n v="99.2"/>
        <n v="41.25"/>
        <n v="14702.14"/>
        <n v="6888.17"/>
        <n v="2991.98"/>
        <n v="18819.990000000002"/>
        <n v="71953.350000000006"/>
        <n v="3321.3"/>
        <n v="485.53"/>
        <n v="14946.09"/>
        <n v="12874.37"/>
        <n v="2948.56"/>
        <n v="309.8"/>
        <n v="89846.44"/>
        <n v="93.14"/>
        <n v="177.24"/>
        <n v="2560.56"/>
        <n v="1346.8"/>
        <n v="406.96"/>
        <n v="31.2"/>
        <n v="9498.99"/>
        <n v="21.3"/>
        <n v="21436.01"/>
        <n v="2471.08"/>
        <n v="12249.26"/>
        <n v="5472.38"/>
        <n v="178.2"/>
        <n v="249.41"/>
        <n v="7612.81"/>
        <n v="1014.02"/>
        <n v="8055.68"/>
        <n v="8287.36"/>
        <n v="10601.74"/>
        <n v="133297.06"/>
        <n v="5332.78"/>
        <n v="107.23"/>
        <n v="50570.5"/>
        <n v="87.2"/>
        <n v="8403.2999999999993"/>
        <n v="2988.26"/>
        <n v="4454.79"/>
        <n v="1227.07"/>
        <n v="17076.439999999999"/>
        <n v="182.91"/>
        <n v="10815.02"/>
        <n v="2224.4699999999998"/>
        <n v="63270.83"/>
        <n v="3473.29"/>
        <n v="731.39"/>
        <n v="359.86"/>
        <n v="148.28"/>
        <n v="16769.400000000001"/>
        <n v="661.77"/>
        <n v="7454.48"/>
        <n v="3461.36"/>
        <n v="9.16"/>
        <n v="2226.87"/>
        <n v="1596.92"/>
        <n v="31355.08"/>
        <n v="3421.59"/>
        <n v="770.96"/>
        <n v="8966.19"/>
        <n v="4453.78"/>
        <n v="3631.41"/>
        <n v="2700.5"/>
        <n v="9812.2999999999993"/>
        <n v="16599.27"/>
        <n v="115.6"/>
        <n v="2537.33"/>
        <n v="19208.34"/>
        <n v="6166.69"/>
        <n v="116445.94"/>
        <n v="5022.26"/>
        <n v="8595.8799999999992"/>
        <n v="3867.94"/>
        <n v="3034.89"/>
        <n v="1514.95"/>
        <n v="2310.7399999999998"/>
        <n v="1237.1500000000001"/>
        <n v="95.16"/>
        <n v="2254.41"/>
        <n v="17642.86"/>
        <n v="301.26"/>
        <n v="30667.19"/>
        <n v="1861.74"/>
        <n v="37065.68"/>
        <n v="458.13"/>
        <n v="87253.16"/>
        <n v="1730.04"/>
        <n v="4781.05"/>
        <n v="558.25"/>
        <n v="922.32"/>
        <n v="656.23"/>
        <n v="93.59"/>
        <n v="2092.3200000000002"/>
        <n v="5111.04"/>
        <n v="224.4"/>
        <n v="28723.82"/>
        <n v="51762.81"/>
        <n v="19527.7"/>
        <n v="249.77"/>
        <n v="2737.92"/>
        <n v="5014"/>
        <n v="894.8"/>
        <n v="447.76"/>
        <n v="2273.34"/>
        <n v="181.47"/>
        <n v="1433.29"/>
        <n v="220.38"/>
        <n v="7482.85"/>
        <n v="10514.43"/>
        <n v="2981.96"/>
        <n v="74291.94"/>
        <n v="1585.85"/>
        <n v="5507.59"/>
        <n v="15285.49"/>
        <n v="949.07"/>
        <n v="19680.310000000001"/>
        <n v="941.93"/>
        <n v="41.55"/>
        <n v="4000.64"/>
        <n v="10338.379999999999"/>
        <n v="10855.26"/>
        <n v="8081.15"/>
        <n v="1693.39"/>
        <n v="54905.07"/>
        <n v="3519.97"/>
        <n v="36275.65"/>
        <n v="414.77"/>
        <n v="2029.92"/>
        <n v="1143.8599999999999"/>
        <n v="33087.68"/>
        <n v="8925.17"/>
        <n v="275.45999999999998"/>
        <n v="333.85"/>
        <n v="3173.42"/>
        <n v="9495.02"/>
        <n v="8190.65"/>
        <n v="9372.6299999999992"/>
        <n v="1435.04"/>
        <n v="3969.38"/>
        <n v="2670.63"/>
        <n v="2360.34"/>
        <n v="5290.6"/>
        <n v="1126.6600000000001"/>
        <n v="565"/>
        <n v="4184.16"/>
        <n v="12568.82"/>
        <n v="25389.57"/>
        <n v="1927.45"/>
        <n v="3697.29"/>
        <n v="513.15"/>
        <n v="2133.62"/>
        <n v="475.52"/>
        <n v="5178.08"/>
        <n v="6686.71"/>
        <n v="9451.4500000000007"/>
        <n v="36.130000000000003"/>
        <n v="7946.19"/>
        <n v="89.5"/>
        <n v="538.04"/>
        <n v="1074.69"/>
        <n v="88.91"/>
        <n v="13703.51"/>
        <n v="22757.35"/>
        <n v="36961.78"/>
        <n v="9703.67"/>
        <n v="235.77"/>
        <n v="1848.17"/>
        <n v="21335.83"/>
        <n v="57546.61"/>
        <n v="13304.82"/>
        <n v="2702.45"/>
        <n v="2543.83"/>
        <n v="1548.57"/>
        <n v="3851.26"/>
        <n v="48229.69"/>
        <n v="3640.83"/>
        <n v="14990.91"/>
        <n v="3280.89"/>
        <n v="111.05"/>
        <n v="8615.36"/>
        <n v="1580.35"/>
        <n v="726.9"/>
        <n v="237.69"/>
        <n v="6803.51"/>
        <n v="97.18"/>
        <n v="1816.65"/>
        <n v="4612.59"/>
        <n v="605.52"/>
        <n v="2777.61"/>
        <n v="2817.21"/>
        <n v="1887.36"/>
        <n v="1061.19"/>
        <n v="21830.12"/>
        <n v="8417.6200000000008"/>
        <n v="1018.25"/>
        <n v="8215.56"/>
        <n v="368.18"/>
        <n v="2350.09"/>
        <n v="1937.64"/>
        <n v="63.05"/>
        <n v="22214.02"/>
        <n v="327.33999999999997"/>
        <n v="212.91"/>
        <n v="853.77"/>
        <n v="86.48"/>
        <n v="62381.83"/>
        <n v="15904.32"/>
        <n v="560.95000000000005"/>
        <n v="16926"/>
        <n v="70.680000000000007"/>
        <n v="405.51"/>
        <n v="613.99"/>
        <n v="10019.9"/>
        <n v="13038.75"/>
        <n v="2186.1999999999998"/>
        <n v="32809.370000000003"/>
        <n v="2521.34"/>
        <n v="39811.269999999997"/>
        <n v="1538.11"/>
        <n v="33391.1"/>
        <n v="4079.28"/>
        <n v="21064.94"/>
        <n v="3099.56"/>
        <n v="55495.95"/>
        <n v="31688.42"/>
        <n v="34449.129999999997"/>
        <n v="48251.12"/>
        <n v="754.21"/>
        <n v="50.93"/>
        <n v="3945.31"/>
        <n v="757.08"/>
        <n v="3172.94"/>
        <n v="22951.1"/>
        <n v="43.2"/>
        <n v="234.24"/>
        <n v="23.07"/>
        <n v="29631.5"/>
        <n v="361.25"/>
        <n v="46085.23"/>
        <n v="4463.8999999999996"/>
        <n v="1034.9100000000001"/>
        <n v="52175.19"/>
        <n v="2985.32"/>
        <n v="609.25"/>
        <n v="2505.04"/>
        <n v="2716.63"/>
        <n v="26192.61"/>
        <n v="11911.08"/>
        <n v="918.21"/>
        <n v="24.47"/>
        <n v="10760.08"/>
        <n v="70.52"/>
        <n v="1430"/>
        <n v="22.97"/>
        <n v="2439.2600000000002"/>
        <n v="2371.83"/>
        <n v="107.92"/>
        <n v="1205.8900000000001"/>
        <n v="728.31"/>
        <n v="307.14999999999998"/>
        <n v="129.1"/>
        <n v="58224.65"/>
        <n v="17435"/>
        <n v="6008.67"/>
        <n v="3580.22"/>
        <n v="277.39999999999998"/>
        <n v="6641.4"/>
        <n v="2698.05"/>
        <n v="78.900000000000006"/>
        <n v="228.05"/>
        <n v="9624.5300000000007"/>
        <n v="1599.31"/>
        <n v="2275.4"/>
        <n v="1166.8800000000001"/>
        <n v="54334.41"/>
        <n v="3889.86"/>
        <n v="1461.23"/>
        <n v="210.08"/>
        <n v="4402.1400000000003"/>
        <n v="4663.6899999999996"/>
        <n v="867.87"/>
        <n v="177.78"/>
        <n v="12558.1"/>
        <n v="1153.73"/>
        <n v="4513.75"/>
        <n v="41267.82"/>
        <n v="2949.77"/>
        <n v="20.5"/>
        <n v="19803.29"/>
        <n v="264.5"/>
        <n v="3065.47"/>
        <n v="1071.72"/>
        <n v="3916.81"/>
        <n v="1780.2"/>
        <n v="15098.91"/>
        <n v="70073.179999999993"/>
        <n v="56.54"/>
        <n v="155.62"/>
        <n v="41080.800000000003"/>
        <n v="186.17"/>
        <n v="3374.68"/>
        <n v="677.75"/>
        <n v="38060.11"/>
        <n v="779.45"/>
        <n v="34943.360000000001"/>
        <n v="19148.11"/>
        <n v="17001.53"/>
        <n v="69.040000000000006"/>
        <n v="792.19"/>
        <n v="174.59"/>
        <n v="2636.93"/>
        <n v="100.19"/>
        <n v="103509.24"/>
        <n v="11862.97"/>
        <n v="856.37"/>
        <n v="42.51"/>
        <n v="59316.97"/>
        <n v="6763.76"/>
        <n v="34.770000000000003"/>
        <n v="30972.52"/>
        <n v="116.65"/>
        <n v="7.37"/>
        <n v="15040.93"/>
        <n v="9357.16"/>
        <n v="572.79999999999995"/>
        <n v="2154.79"/>
        <n v="2322.3200000000002"/>
        <n v="309.77999999999997"/>
        <n v="29606.32"/>
        <n v="1309.3499999999999"/>
        <n v="226.32"/>
        <n v="226.16"/>
        <n v="4272.04"/>
        <n v="806.76"/>
        <n v="3626.02"/>
        <n v="4120.93"/>
        <n v="4127.79"/>
        <n v="14763.69"/>
        <n v="1500.2"/>
        <n v="4991.17"/>
        <n v="28219.11"/>
        <n v="4765.0200000000004"/>
        <n v="27723.9"/>
        <n v="7612.27"/>
        <n v="2254.31"/>
        <n v="1125"/>
        <n v="3325.04"/>
        <n v="769.67"/>
        <n v="12084.3"/>
        <n v="1718.02"/>
        <n v="672.76"/>
        <n v="952.86"/>
        <n v="2505.62"/>
        <n v="3359.68"/>
        <n v="91.72"/>
        <n v="3760.45"/>
        <n v="8197.84"/>
        <n v="16236.72"/>
        <n v="6807.19"/>
        <n v="2865.09"/>
        <n v="578.62"/>
        <n v="436.92"/>
        <n v="7413.18"/>
        <n v="20346.12"/>
        <n v="24509.37"/>
        <n v="277.58"/>
        <n v="22104.58"/>
        <n v="8682.18"/>
        <n v="211.59"/>
        <n v="13.54"/>
        <n v="456.69"/>
        <n v="595.15"/>
        <n v="9634.2000000000007"/>
        <n v="2941.97"/>
        <n v="1519.64"/>
        <n v="31164.9"/>
        <n v="407.58"/>
        <n v="2480.34"/>
        <n v="4541.29"/>
        <n v="1700.03"/>
        <n v="94953.31"/>
        <n v="3678.22"/>
        <n v="91.4"/>
        <n v="145.51"/>
        <n v="781.78"/>
        <n v="5633.84"/>
        <n v="27664.1"/>
        <n v="2973.2"/>
        <n v="1133.27"/>
        <n v="335.77"/>
        <n v="161.71"/>
        <n v="9835.5300000000007"/>
        <n v="3567.18"/>
        <n v="1539.55"/>
        <n v="1900.47"/>
        <n v="2480.31"/>
        <n v="59.02"/>
        <n v="192.95"/>
        <n v="261.88"/>
        <n v="1117.94"/>
        <n v="26897.47"/>
        <n v="322.56"/>
        <n v="22910.799999999999"/>
        <n v="1124.3399999999999"/>
        <n v="45.56"/>
        <n v="24905.94"/>
        <n v="3812.64"/>
        <n v="18155"/>
        <n v="13161.33"/>
        <n v="10509.8"/>
        <n v="3176.85"/>
        <n v="2740.01"/>
        <n v="2520.92"/>
        <n v="2335.41"/>
        <n v="210.9"/>
        <n v="13820.97"/>
        <n v="916.26"/>
        <n v="1007.86"/>
        <n v="4556.58"/>
        <n v="2403.1999999999998"/>
        <n v="4024.97"/>
        <n v="611.14"/>
        <n v="97.94"/>
        <n v="84.56"/>
        <n v="430.86"/>
        <n v="344.23"/>
        <n v="16766.5"/>
        <n v="13078.71"/>
        <n v="53581.94"/>
        <n v="1286.21"/>
        <n v="1518.74"/>
        <n v="19234.099999999999"/>
        <n v="17.329999999999998"/>
        <n v="32628.880000000001"/>
        <n v="8442.25"/>
        <n v="185.8"/>
        <n v="170"/>
        <n v="3182.4"/>
        <n v="8846.49"/>
        <n v="58133.19"/>
        <n v="18316.25"/>
        <n v="26416.639999999999"/>
        <n v="3179.69"/>
        <n v="3265.65"/>
        <n v="3461.29"/>
        <n v="1760.45"/>
        <n v="157.04"/>
        <n v="5460.97"/>
        <n v="107787.95"/>
        <n v="31415.21"/>
        <n v="8275.81"/>
        <n v="98591.29"/>
        <n v="97.79"/>
        <n v="28653.14"/>
        <n v="15.49"/>
        <n v="3707.24"/>
        <n v="100251.26"/>
        <n v="29073.1"/>
        <n v="8775.98"/>
        <n v="10034.219999999999"/>
        <n v="1360.97"/>
        <n v="5641.8"/>
        <n v="223.77"/>
        <n v="806.66"/>
        <n v="4003.12"/>
        <n v="4442.99"/>
        <n v="2237.36"/>
        <n v="18758.650000000001"/>
        <n v="18401.75"/>
        <n v="20863.189999999999"/>
        <n v="2753.44"/>
        <n v="4445.68"/>
        <m/>
      </sharedItems>
    </cacheField>
    <cacheField name="Shipping_Cost  " numFmtId="0">
      <sharedItems containsString="0" containsBlank="1" containsNumber="1" minValue="8.31" maxValue="117.75"/>
    </cacheField>
    <cacheField name="Payment_Method" numFmtId="0">
      <sharedItems containsBlank="1"/>
    </cacheField>
    <cacheField name="Customer_Satisfaction" numFmtId="0">
      <sharedItems containsBlank="1" containsMixedTypes="1" containsNumber="1" containsInteger="1" minValue="1" maxValue="5"/>
    </cacheField>
    <cacheField name="Return_Flag" numFmtId="0">
      <sharedItems containsBlank="1"/>
    </cacheField>
    <cacheField name="Order_Status" numFmtId="0">
      <sharedItems containsBlank="1" count="6">
        <s v="Returned"/>
        <s v="Delivered"/>
        <s v="Pending"/>
        <s v="Cancelled"/>
        <s v="Shipped"/>
        <m/>
      </sharedItems>
    </cacheField>
    <cacheField name="Days_To_Ship" numFmtId="0">
      <sharedItems containsBlank="1" containsMixedTypes="1" containsNumber="1" containsInteger="1" minValue="-1" maxValue="100"/>
    </cacheField>
    <cacheField name="Column1" numFmtId="0">
      <sharedItems containsNonDate="0" containsString="0" containsBlank="1"/>
    </cacheField>
    <cacheField name="Age Rang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1">
  <r>
    <s v="ORD-03903"/>
    <d v="2024-08-15T00:00:00"/>
    <s v="CUST32603"/>
    <s v="Aarav Mehta"/>
    <n v="39"/>
    <x v="0"/>
    <x v="0"/>
    <s v="Raipur"/>
    <x v="0"/>
    <x v="0"/>
    <n v="8"/>
    <n v="346.32"/>
    <n v="0"/>
    <x v="0"/>
    <x v="0"/>
    <n v="56.04"/>
    <s v="Debit Card"/>
    <s v="N/A"/>
    <b v="1"/>
    <x v="0"/>
    <n v="7"/>
    <m/>
    <s v="Mid Age"/>
  </r>
  <r>
    <s v="ORD-02198"/>
    <d v="2022-08-16T00:00:00"/>
    <s v="CUST07881"/>
    <s v="Sanjay Verma"/>
    <n v="28"/>
    <x v="1"/>
    <x v="1"/>
    <s v="Mumbai"/>
    <x v="1"/>
    <x v="1"/>
    <n v="8"/>
    <n v="858.66"/>
    <n v="0.08"/>
    <x v="1"/>
    <x v="1"/>
    <n v="64.489999999999995"/>
    <s v="Debit Card"/>
    <n v="5"/>
    <b v="0"/>
    <x v="1"/>
    <n v="2"/>
    <m/>
    <s v="Mid Age"/>
  </r>
  <r>
    <s v="ORD-01348"/>
    <d v="2021-08-29T00:00:00"/>
    <s v="CUST49296"/>
    <s v="Pooja Sharma"/>
    <n v="41"/>
    <x v="0"/>
    <x v="1"/>
    <s v="Surat"/>
    <x v="2"/>
    <x v="2"/>
    <n v="4"/>
    <n v="25941.32"/>
    <n v="0.14000000000000001"/>
    <x v="2"/>
    <x v="2"/>
    <n v="67.650000000000006"/>
    <s v="Debit Card"/>
    <n v="4"/>
    <b v="0"/>
    <x v="1"/>
    <n v="5"/>
    <m/>
    <s v="Old Age"/>
  </r>
  <r>
    <s v="ORD-02076"/>
    <d v="2022-07-05T00:00:00"/>
    <s v="CUST05587"/>
    <s v="Priya Reddy"/>
    <n v="29"/>
    <x v="0"/>
    <x v="1"/>
    <s v="Ahmedabad"/>
    <x v="2"/>
    <x v="3"/>
    <n v="9"/>
    <n v="22071.919999999998"/>
    <n v="0.17"/>
    <x v="3"/>
    <x v="3"/>
    <n v="54.47"/>
    <s v="EMI"/>
    <n v="3"/>
    <b v="0"/>
    <x v="1"/>
    <n v="4"/>
    <m/>
    <s v="Mid Age"/>
  </r>
  <r>
    <s v="ORD-00287"/>
    <d v="2020-05-07T00:00:00"/>
    <s v="CUST58035"/>
    <s v="Ritu Sharma"/>
    <n v="9"/>
    <x v="1"/>
    <x v="0"/>
    <s v="Nagpur"/>
    <x v="0"/>
    <x v="4"/>
    <n v="1"/>
    <n v="320.06"/>
    <n v="0.31"/>
    <x v="4"/>
    <x v="4"/>
    <n v="48.81"/>
    <s v="Net Banking"/>
    <n v="4"/>
    <b v="0"/>
    <x v="2"/>
    <n v="4"/>
    <m/>
    <s v="Young Age"/>
  </r>
  <r>
    <s v="ORD-03954"/>
    <d v="2024-02-09T00:00:00"/>
    <s v="CUST17187"/>
    <s v="Vikram Iyer"/>
    <n v="29"/>
    <x v="1"/>
    <x v="1"/>
    <s v="Surat"/>
    <x v="3"/>
    <x v="5"/>
    <n v="2"/>
    <n v="949.5"/>
    <n v="0.22"/>
    <x v="5"/>
    <x v="5"/>
    <n v="62.42"/>
    <s v="Cash on Delivery"/>
    <n v="2"/>
    <b v="1"/>
    <x v="0"/>
    <n v="8"/>
    <m/>
    <s v="Mid Age"/>
  </r>
  <r>
    <s v="ORD-01412"/>
    <d v="2021-09-28T00:00:00"/>
    <s v="CUST02453"/>
    <s v="Arjun Shah"/>
    <n v="31"/>
    <x v="2"/>
    <x v="0"/>
    <s v="Bhopal"/>
    <x v="3"/>
    <x v="5"/>
    <n v="3"/>
    <n v="329.03"/>
    <n v="0.02"/>
    <x v="6"/>
    <x v="6"/>
    <n v="77.34"/>
    <s v="Credit Card"/>
    <n v="5"/>
    <b v="1"/>
    <x v="0"/>
    <n v="10"/>
    <m/>
    <s v="Mid Age"/>
  </r>
  <r>
    <s v="ORD-02911"/>
    <d v="2023-06-10T00:00:00"/>
    <s v="CUST23285"/>
    <s v="Aditya Sharma"/>
    <n v="43"/>
    <x v="2"/>
    <x v="2"/>
    <s v="Amritsar"/>
    <x v="4"/>
    <x v="6"/>
    <n v="1"/>
    <n v="1356.6"/>
    <n v="0.01"/>
    <x v="7"/>
    <x v="7"/>
    <n v="82.68"/>
    <s v="UPI"/>
    <n v="1"/>
    <b v="0"/>
    <x v="1"/>
    <n v="4"/>
    <m/>
    <s v="Old Age"/>
  </r>
  <r>
    <s v="ORD-00465"/>
    <d v="2020-07-24T00:00:00"/>
    <s v="CUST23609"/>
    <s v="Aditya Patel"/>
    <n v="44"/>
    <x v="2"/>
    <x v="3"/>
    <s v="Patna"/>
    <x v="3"/>
    <x v="5"/>
    <n v="8"/>
    <n v="495.77"/>
    <n v="0.37"/>
    <x v="8"/>
    <x v="8"/>
    <n v="84.5"/>
    <s v="Debit Card"/>
    <n v="1"/>
    <b v="0"/>
    <x v="3"/>
    <n v="10"/>
    <m/>
    <s v="Old Age"/>
  </r>
  <r>
    <s v="ORD-00105"/>
    <d v="2020-02-09T00:00:00"/>
    <s v="CUST75337"/>
    <s v="Arjun Das"/>
    <n v="17"/>
    <x v="2"/>
    <x v="3"/>
    <s v="Patna"/>
    <x v="4"/>
    <x v="7"/>
    <n v="9"/>
    <n v="2128.77"/>
    <n v="0.1"/>
    <x v="9"/>
    <x v="9"/>
    <n v="75.33"/>
    <s v="UPI"/>
    <n v="3"/>
    <b v="0"/>
    <x v="1"/>
    <n v="8"/>
    <m/>
    <s v="Young Age"/>
  </r>
  <r>
    <s v="ORD-00362"/>
    <d v="2020-06-04T00:00:00"/>
    <s v="CUST80340"/>
    <s v="Meera Mishra"/>
    <n v="51"/>
    <x v="0"/>
    <x v="0"/>
    <s v="Raipur"/>
    <x v="2"/>
    <x v="8"/>
    <n v="3"/>
    <n v="24460.799999999999"/>
    <n v="0.15"/>
    <x v="10"/>
    <x v="10"/>
    <n v="60.11"/>
    <s v="UPI"/>
    <n v="1"/>
    <b v="0"/>
    <x v="1"/>
    <n v="8"/>
    <m/>
    <s v="Old Age"/>
  </r>
  <r>
    <s v="ORD-01701"/>
    <d v="2022-01-28T00:00:00"/>
    <s v="CUST47772"/>
    <s v="Shreya Bose"/>
    <n v="14"/>
    <x v="2"/>
    <x v="1"/>
    <s v="Ahmedabad"/>
    <x v="0"/>
    <x v="9"/>
    <n v="2"/>
    <n v="274.81"/>
    <n v="0.15"/>
    <x v="11"/>
    <x v="11"/>
    <n v="46.69"/>
    <s v="EMI"/>
    <n v="4"/>
    <b v="0"/>
    <x v="1"/>
    <n v="4"/>
    <m/>
    <s v="Young Age"/>
  </r>
  <r>
    <s v="ORD-02270"/>
    <d v="2022-09-14T00:00:00"/>
    <s v="CUST31062"/>
    <s v="Vikram Pillai"/>
    <n v="15"/>
    <x v="0"/>
    <x v="2"/>
    <s v="Ludhiana"/>
    <x v="1"/>
    <x v="10"/>
    <n v="7"/>
    <n v="111.14"/>
    <n v="0.37"/>
    <x v="12"/>
    <x v="12"/>
    <n v="44.94"/>
    <s v="Net Banking"/>
    <n v="4"/>
    <b v="0"/>
    <x v="1"/>
    <n v="9"/>
    <m/>
    <s v="Young Age"/>
  </r>
  <r>
    <s v="ORD-03417"/>
    <d v="2024-01-21T00:00:00"/>
    <s v="CUST83946"/>
    <s v="Karan Bose"/>
    <n v="29"/>
    <x v="2"/>
    <x v="1"/>
    <s v="Pune"/>
    <x v="3"/>
    <x v="11"/>
    <n v="10"/>
    <n v="1492.28"/>
    <n v="0.38"/>
    <x v="13"/>
    <x v="13"/>
    <n v="66.67"/>
    <s v="Debit Card"/>
    <n v="3"/>
    <b v="1"/>
    <x v="0"/>
    <s v="N/A"/>
    <m/>
    <s v="Mid Age"/>
  </r>
  <r>
    <s v="ORD-02532"/>
    <d v="2023-01-04T00:00:00"/>
    <s v="CUST73360"/>
    <s v="Deepa Joshi"/>
    <n v="53"/>
    <x v="1"/>
    <x v="4"/>
    <s v="Kochi"/>
    <x v="4"/>
    <x v="12"/>
    <n v="9"/>
    <n v="590.14"/>
    <n v="0"/>
    <x v="14"/>
    <x v="14"/>
    <n v="79.19"/>
    <s v="EMI"/>
    <n v="1"/>
    <b v="0"/>
    <x v="1"/>
    <n v="4"/>
    <m/>
    <s v="Old Age"/>
  </r>
  <r>
    <s v="ORD-03524"/>
    <d v="2024-03-10T00:00:00"/>
    <s v="CUST50623"/>
    <s v="Deepa Mehta"/>
    <n v="30"/>
    <x v="2"/>
    <x v="4"/>
    <s v="Kochi"/>
    <x v="2"/>
    <x v="13"/>
    <n v="10"/>
    <n v="12138.87"/>
    <n v="0.15"/>
    <x v="15"/>
    <x v="15"/>
    <n v="49.93"/>
    <s v="EMI"/>
    <s v="N/A"/>
    <b v="0"/>
    <x v="1"/>
    <n v="1"/>
    <m/>
    <s v="Mid Age"/>
  </r>
  <r>
    <s v="ORD-01814"/>
    <d v="2022-03-14T00:00:00"/>
    <s v="CUST08792"/>
    <s v="Rahul Gupta"/>
    <n v="26"/>
    <x v="1"/>
    <x v="4"/>
    <s v="Bangalore"/>
    <x v="4"/>
    <x v="14"/>
    <n v="10"/>
    <n v="1706.05"/>
    <n v="0.04"/>
    <x v="16"/>
    <x v="16"/>
    <n v="89.15"/>
    <s v="UPI"/>
    <n v="5"/>
    <b v="0"/>
    <x v="1"/>
    <n v="4"/>
    <m/>
    <s v="Mid Age"/>
  </r>
  <r>
    <s v="ORD-03257"/>
    <d v="2023-06-11T00:00:00"/>
    <s v="CUST88256"/>
    <s v="Shreya Singh"/>
    <n v="15"/>
    <x v="1"/>
    <x v="3"/>
    <s v="Guwahati"/>
    <x v="5"/>
    <x v="15"/>
    <n v="8"/>
    <n v="73558.44"/>
    <n v="0.4"/>
    <x v="17"/>
    <x v="17"/>
    <n v="82.71"/>
    <s v="UPI"/>
    <n v="3"/>
    <b v="0"/>
    <x v="1"/>
    <n v="6"/>
    <m/>
    <s v="Young Age"/>
  </r>
  <r>
    <s v="ORD-04171"/>
    <d v="2024-12-17T00:00:00"/>
    <s v="CUST15084"/>
    <s v="Nikhil Mishra"/>
    <n v="43"/>
    <x v="1"/>
    <x v="4"/>
    <s v="Kochi"/>
    <x v="4"/>
    <x v="16"/>
    <n v="5"/>
    <n v="3006.52"/>
    <n v="0.12"/>
    <x v="18"/>
    <x v="18"/>
    <n v="75.97"/>
    <s v="Credit Card"/>
    <n v="1"/>
    <b v="0"/>
    <x v="1"/>
    <n v="5"/>
    <m/>
    <s v="Old Age"/>
  </r>
  <r>
    <s v="ORD-00049"/>
    <d v="2020-01-19T00:00:00"/>
    <s v="CUST43401"/>
    <s v="Sanjay Bose"/>
    <n v="21"/>
    <x v="0"/>
    <x v="2"/>
    <s v="Delhi"/>
    <x v="2"/>
    <x v="2"/>
    <n v="3"/>
    <n v="34890.629999999997"/>
    <n v="0.28999999999999998"/>
    <x v="19"/>
    <x v="19"/>
    <n v="40.97"/>
    <s v="Net Banking"/>
    <n v="5"/>
    <b v="0"/>
    <x v="4"/>
    <n v="3"/>
    <m/>
    <s v="Young Age"/>
  </r>
  <r>
    <s v="ORD-01978"/>
    <d v="2022-05-24T00:00:00"/>
    <s v="CUST43165"/>
    <s v="Kavya Kumar"/>
    <n v="15"/>
    <x v="0"/>
    <x v="4"/>
    <s v="Chennai"/>
    <x v="5"/>
    <x v="17"/>
    <n v="7"/>
    <n v="48577.53"/>
    <n v="7.0000000000000007E-2"/>
    <x v="20"/>
    <x v="20"/>
    <n v="57.45"/>
    <s v="EMI"/>
    <n v="2"/>
    <b v="0"/>
    <x v="1"/>
    <n v="4"/>
    <m/>
    <s v="Young Age"/>
  </r>
  <r>
    <s v="ORD-00968"/>
    <d v="2021-03-17T00:00:00"/>
    <s v="CUST41573"/>
    <s v="Sanjay Mishra"/>
    <n v="35"/>
    <x v="2"/>
    <x v="4"/>
    <s v="Kochi"/>
    <x v="6"/>
    <x v="18"/>
    <n v="8"/>
    <n v="7643.4"/>
    <n v="0.09"/>
    <x v="21"/>
    <x v="21"/>
    <n v="65.760000000000005"/>
    <s v="Credit Card"/>
    <s v="N/A"/>
    <b v="0"/>
    <x v="1"/>
    <n v="8"/>
    <m/>
    <s v="Mid Age"/>
  </r>
  <r>
    <s v="ORD-02727"/>
    <d v="2023-03-28T00:00:00"/>
    <s v="CUST68233"/>
    <s v="Rahul Joshi"/>
    <n v="22"/>
    <x v="2"/>
    <x v="0"/>
    <s v="Nagpur"/>
    <x v="3"/>
    <x v="19"/>
    <n v="6"/>
    <n v="1467.54"/>
    <n v="0.28999999999999998"/>
    <x v="22"/>
    <x v="22"/>
    <n v="50.88"/>
    <s v="UPI"/>
    <s v="N/A"/>
    <b v="0"/>
    <x v="1"/>
    <n v="4"/>
    <m/>
    <s v="Young Age"/>
  </r>
  <r>
    <s v="ORD-02986"/>
    <d v="2023-07-17T00:00:00"/>
    <s v="CUST62795"/>
    <s v="Arjun Chatterjee"/>
    <n v="30"/>
    <x v="1"/>
    <x v="4"/>
    <s v="Bangalore"/>
    <x v="3"/>
    <x v="5"/>
    <m/>
    <n v="478.05"/>
    <n v="0.02"/>
    <x v="23"/>
    <x v="23"/>
    <n v="63.7"/>
    <s v="Cash on Delivery"/>
    <n v="2"/>
    <b v="0"/>
    <x v="1"/>
    <n v="7"/>
    <m/>
    <s v="Mid Age"/>
  </r>
  <r>
    <s v="ORD-04158"/>
    <d v="2024-12-10T00:00:00"/>
    <s v="CUST75042"/>
    <s v="Pooja Verma"/>
    <n v="44"/>
    <x v="2"/>
    <x v="0"/>
    <s v="Nagpur"/>
    <x v="3"/>
    <x v="5"/>
    <n v="7"/>
    <n v="612.70000000000005"/>
    <n v="0.22"/>
    <x v="24"/>
    <x v="24"/>
    <n v="55.8"/>
    <s v="Credit Card"/>
    <n v="5"/>
    <b v="0"/>
    <x v="1"/>
    <n v="4"/>
    <m/>
    <s v="Old Age"/>
  </r>
  <r>
    <s v="ORD-03913"/>
    <d v="2024-08-17T00:00:00"/>
    <s v="CUST83779"/>
    <s v="Nikhil Bhat"/>
    <n v="31"/>
    <x v="0"/>
    <x v="1"/>
    <s v="Surat"/>
    <x v="6"/>
    <x v="20"/>
    <n v="9"/>
    <n v="3000.32"/>
    <n v="0.21"/>
    <x v="25"/>
    <x v="25"/>
    <n v="68.5"/>
    <s v="UPI"/>
    <n v="4"/>
    <b v="0"/>
    <x v="1"/>
    <n v="9"/>
    <m/>
    <s v="Mid Age"/>
  </r>
  <r>
    <s v="ORD-01473"/>
    <d v="2021-10-25T00:00:00"/>
    <s v="CUST33809"/>
    <s v="Sanjay Reddy"/>
    <n v="31"/>
    <x v="0"/>
    <x v="1"/>
    <s v="Surat"/>
    <x v="0"/>
    <x v="4"/>
    <n v="2"/>
    <n v="233.12"/>
    <n v="0.28000000000000003"/>
    <x v="26"/>
    <x v="26"/>
    <n v="57.3"/>
    <s v="Cash on Delivery"/>
    <n v="3"/>
    <b v="0"/>
    <x v="1"/>
    <n v="7"/>
    <m/>
    <s v="Mid Age"/>
  </r>
  <r>
    <s v="ORD-03795"/>
    <d v="2024-07-07T00:00:00"/>
    <s v="CUST28954"/>
    <s v="Nikhil Bose"/>
    <n v="35"/>
    <x v="2"/>
    <x v="0"/>
    <s v="Bhopal"/>
    <x v="4"/>
    <x v="12"/>
    <n v="2"/>
    <n v="735.25"/>
    <n v="0.03"/>
    <x v="27"/>
    <x v="27"/>
    <n v="74.95"/>
    <s v="UPI"/>
    <n v="5"/>
    <b v="0"/>
    <x v="1"/>
    <n v="8"/>
    <m/>
    <s v="Mid Age"/>
  </r>
  <r>
    <s v="ORD-01275"/>
    <d v="2021-07-28T00:00:00"/>
    <s v="CUST94413"/>
    <s v="Rahul Gupta"/>
    <n v="35"/>
    <x v="1"/>
    <x v="0"/>
    <s v="Indore"/>
    <x v="5"/>
    <x v="21"/>
    <n v="9"/>
    <n v="63147.82"/>
    <n v="0.14000000000000001"/>
    <x v="28"/>
    <x v="28"/>
    <n v="60.5"/>
    <s v="Cash on Delivery"/>
    <n v="4"/>
    <b v="1"/>
    <x v="0"/>
    <n v="3"/>
    <m/>
    <s v="Mid Age"/>
  </r>
  <r>
    <s v="ORD-00412"/>
    <d v="2020-07-01T00:00:00"/>
    <s v="CUST88814"/>
    <s v="Rahul Kapoor"/>
    <n v="51"/>
    <x v="0"/>
    <x v="1"/>
    <s v="Ahmedabad"/>
    <x v="3"/>
    <x v="19"/>
    <n v="8"/>
    <n v="635.66"/>
    <n v="0.34"/>
    <x v="29"/>
    <x v="29"/>
    <n v="67.010000000000005"/>
    <s v="Cash on Delivery"/>
    <n v="1"/>
    <b v="0"/>
    <x v="1"/>
    <n v="3"/>
    <m/>
    <s v="Old Age"/>
  </r>
  <r>
    <s v="ORD-01848"/>
    <d v="2022-03-29T00:00:00"/>
    <s v="CUST43339"/>
    <s v="Arjun Pillai"/>
    <n v="28"/>
    <x v="1"/>
    <x v="4"/>
    <s v="Kochi"/>
    <x v="6"/>
    <x v="22"/>
    <n v="7"/>
    <n v="6478.95"/>
    <n v="0.22"/>
    <x v="30"/>
    <x v="30"/>
    <n v="69.59"/>
    <s v="EMI"/>
    <n v="1"/>
    <b v="0"/>
    <x v="1"/>
    <n v="2"/>
    <m/>
    <s v="Mid Age"/>
  </r>
  <r>
    <s v="ORD-02684"/>
    <d v="2023-03-10T00:00:00"/>
    <s v="CUST32875"/>
    <s v="Kavya Patel"/>
    <n v="41"/>
    <x v="1"/>
    <x v="4"/>
    <s v="Kochi"/>
    <x v="1"/>
    <x v="23"/>
    <n v="3"/>
    <n v="1290.21"/>
    <n v="0.12"/>
    <x v="31"/>
    <x v="31"/>
    <n v="64.97"/>
    <s v="Cash on Delivery"/>
    <n v="3"/>
    <b v="0"/>
    <x v="1"/>
    <n v="5"/>
    <m/>
    <s v="Old Age"/>
  </r>
  <r>
    <s v="ORD-00936"/>
    <d v="2021-02-27T00:00:00"/>
    <s v="CUST82575"/>
    <s v="Kavya Pillai"/>
    <n v="29"/>
    <x v="2"/>
    <x v="0"/>
    <s v="Nagpur"/>
    <x v="2"/>
    <x v="24"/>
    <n v="1"/>
    <n v="33537.06"/>
    <n v="0.25"/>
    <x v="32"/>
    <x v="32"/>
    <n v="56.47"/>
    <s v="Debit Card"/>
    <n v="4"/>
    <b v="0"/>
    <x v="1"/>
    <n v="2"/>
    <m/>
    <s v="Mid Age"/>
  </r>
  <r>
    <s v="ORD-03422"/>
    <d v="2024-01-23T00:00:00"/>
    <s v="CUST58923"/>
    <s v="Deepa Pillai"/>
    <n v="20"/>
    <x v="1"/>
    <x v="3"/>
    <s v="Guwahati"/>
    <x v="5"/>
    <x v="17"/>
    <n v="3"/>
    <n v="64874.09"/>
    <n v="0.02"/>
    <x v="33"/>
    <x v="33"/>
    <n v="79.56"/>
    <s v="UPI"/>
    <n v="1"/>
    <b v="0"/>
    <x v="1"/>
    <n v="7"/>
    <m/>
    <s v="Young Age"/>
  </r>
  <r>
    <s v="ORD-01505"/>
    <d v="2021-11-06T00:00:00"/>
    <s v="CUST41623"/>
    <s v="Vikram Pillai"/>
    <n v="65"/>
    <x v="0"/>
    <x v="2"/>
    <s v="Chandigarh"/>
    <x v="3"/>
    <x v="19"/>
    <n v="4"/>
    <n v="1350.95"/>
    <n v="0.21"/>
    <x v="34"/>
    <x v="34"/>
    <n v="44.83"/>
    <s v="Credit Card"/>
    <n v="3"/>
    <b v="0"/>
    <x v="1"/>
    <n v="2"/>
    <m/>
    <s v="Old Age"/>
  </r>
  <r>
    <s v="ORD-04045"/>
    <d v="2024-10-22T00:00:00"/>
    <s v="CUST10094"/>
    <s v="Rahul Sharma"/>
    <n v="26"/>
    <x v="0"/>
    <x v="2"/>
    <s v="Amritsar"/>
    <x v="5"/>
    <x v="25"/>
    <n v="3"/>
    <n v="68799.42"/>
    <n v="7.0000000000000007E-2"/>
    <x v="35"/>
    <x v="35"/>
    <n v="48.01"/>
    <s v="UPI"/>
    <n v="1"/>
    <b v="0"/>
    <x v="1"/>
    <n v="7"/>
    <m/>
    <s v="Mid Age"/>
  </r>
  <r>
    <s v="ORD-02565"/>
    <d v="2023-01-17T00:00:00"/>
    <s v="CUST71120"/>
    <s v="Ritu Nair"/>
    <n v="35"/>
    <x v="1"/>
    <x v="2"/>
    <s v="Amritsar"/>
    <x v="2"/>
    <x v="2"/>
    <n v="3"/>
    <n v="31242.32"/>
    <n v="0.01"/>
    <x v="36"/>
    <x v="36"/>
    <n v="52.73"/>
    <s v="Debit Card"/>
    <n v="3"/>
    <b v="1"/>
    <x v="0"/>
    <n v="4"/>
    <m/>
    <s v="Mid Age"/>
  </r>
  <r>
    <s v="ORD-02031"/>
    <d v="2022-06-14T00:00:00"/>
    <s v="CUST13864"/>
    <s v="Amit Kumar"/>
    <n v="30"/>
    <x v="0"/>
    <x v="0"/>
    <s v="Bhopal"/>
    <x v="3"/>
    <x v="19"/>
    <m/>
    <n v="1431.29"/>
    <n v="0.04"/>
    <x v="37"/>
    <x v="37"/>
    <n v="70.38"/>
    <s v="Credit Card"/>
    <n v="5"/>
    <b v="1"/>
    <x v="0"/>
    <n v="8"/>
    <m/>
    <s v="Mid Age"/>
  </r>
  <r>
    <s v="ORD-03773"/>
    <d v="2024-06-30T00:00:00"/>
    <s v="CUST34644"/>
    <s v="Ananya Patel"/>
    <n v="27"/>
    <x v="1"/>
    <x v="4"/>
    <s v="Bangalore"/>
    <x v="4"/>
    <x v="26"/>
    <n v="3"/>
    <n v="1621.83"/>
    <n v="0.4"/>
    <x v="38"/>
    <x v="38"/>
    <n v="67.23"/>
    <s v="Credit Card"/>
    <n v="2"/>
    <b v="0"/>
    <x v="1"/>
    <n v="4"/>
    <m/>
    <s v="Mid Age"/>
  </r>
  <r>
    <s v="ORD-00025"/>
    <d v="2020-01-10T00:00:00"/>
    <s v="CUST91373"/>
    <s v="Karan Iyer"/>
    <n v="52"/>
    <x v="2"/>
    <x v="1"/>
    <s v="Mumbai"/>
    <x v="3"/>
    <x v="11"/>
    <n v="10"/>
    <n v="324.41000000000003"/>
    <n v="0.32"/>
    <x v="39"/>
    <x v="39"/>
    <n v="48.24"/>
    <s v="UPI"/>
    <n v="3"/>
    <b v="0"/>
    <x v="1"/>
    <n v="4"/>
    <m/>
    <s v="Old Age"/>
  </r>
  <r>
    <s v="ORD-02868"/>
    <d v="2023-05-31T00:00:00"/>
    <s v="CUST17518"/>
    <s v="Sanjay Shah"/>
    <n v="42"/>
    <x v="2"/>
    <x v="0"/>
    <s v="Indore"/>
    <x v="2"/>
    <x v="8"/>
    <n v="6"/>
    <n v="20242.36"/>
    <n v="0.04"/>
    <x v="40"/>
    <x v="40"/>
    <n v="83.75"/>
    <s v="Credit Card"/>
    <n v="2"/>
    <b v="0"/>
    <x v="1"/>
    <n v="9"/>
    <m/>
    <s v="Old Age"/>
  </r>
  <r>
    <s v="ORD-01993"/>
    <d v="2022-05-30T00:00:00"/>
    <s v="CUST20457"/>
    <s v="Vikram Kumar"/>
    <n v="40"/>
    <x v="0"/>
    <x v="2"/>
    <s v="Ludhiana"/>
    <x v="6"/>
    <x v="27"/>
    <n v="9"/>
    <n v="14422.23"/>
    <n v="0.21"/>
    <x v="41"/>
    <x v="41"/>
    <n v="58.92"/>
    <s v="EMI"/>
    <n v="5"/>
    <b v="0"/>
    <x v="1"/>
    <n v="1"/>
    <m/>
    <s v="Mid Age"/>
  </r>
  <r>
    <s v="ORD-00415"/>
    <d v="2020-07-01T00:00:00"/>
    <s v="CUST39948"/>
    <s v="Nikhil Kapoor"/>
    <n v="-6"/>
    <x v="2"/>
    <x v="2"/>
    <s v="Chandigarh"/>
    <x v="2"/>
    <x v="28"/>
    <n v="2"/>
    <n v="33115.910000000003"/>
    <n v="0.28000000000000003"/>
    <x v="42"/>
    <x v="42"/>
    <n v="39.83"/>
    <s v="EMI"/>
    <n v="5"/>
    <b v="0"/>
    <x v="1"/>
    <n v="1"/>
    <m/>
    <s v="Young Age"/>
  </r>
  <r>
    <s v="ORD-02867"/>
    <d v="2023-05-31T00:00:00"/>
    <s v="CUST70575"/>
    <s v="Aditya Reddy"/>
    <n v="49"/>
    <x v="2"/>
    <x v="2"/>
    <s v="Amritsar"/>
    <x v="6"/>
    <x v="22"/>
    <n v="8"/>
    <n v="3917.74"/>
    <n v="0.27"/>
    <x v="43"/>
    <x v="43"/>
    <n v="60.71"/>
    <s v="Cash on Delivery"/>
    <s v="N/A"/>
    <b v="0"/>
    <x v="1"/>
    <n v="8"/>
    <m/>
    <s v="Old Age"/>
  </r>
  <r>
    <s v="ORD-00757"/>
    <d v="2020-12-09T00:00:00"/>
    <s v="CUST29818"/>
    <s v="Meera Gupta"/>
    <n v="999"/>
    <x v="2"/>
    <x v="4"/>
    <s v="Kochi"/>
    <x v="2"/>
    <x v="24"/>
    <n v="4"/>
    <n v="11267.5"/>
    <n v="0.2"/>
    <x v="44"/>
    <x v="44"/>
    <n v="70.73"/>
    <s v="UPI"/>
    <n v="4"/>
    <b v="0"/>
    <x v="1"/>
    <n v="1"/>
    <m/>
    <s v="Old Age"/>
  </r>
  <r>
    <s v="ORD-03357"/>
    <d v="2023-12-23T00:00:00"/>
    <s v="CUST53286"/>
    <s v="Kavya Verma"/>
    <n v="34"/>
    <x v="1"/>
    <x v="3"/>
    <s v="Patna"/>
    <x v="1"/>
    <x v="29"/>
    <n v="5"/>
    <n v="2497.1"/>
    <n v="0.37"/>
    <x v="45"/>
    <x v="45"/>
    <n v="61.27"/>
    <s v="Cash on Delivery"/>
    <n v="1"/>
    <b v="0"/>
    <x v="4"/>
    <n v="5"/>
    <m/>
    <s v="Mid Age"/>
  </r>
  <r>
    <s v="ORD-02282"/>
    <d v="2022-09-18T00:00:00"/>
    <s v="CUST94046"/>
    <s v="Ananya Nair"/>
    <n v="38"/>
    <x v="0"/>
    <x v="0"/>
    <s v="Raipur"/>
    <x v="5"/>
    <x v="25"/>
    <n v="5"/>
    <n v="11463.02"/>
    <n v="0.34"/>
    <x v="46"/>
    <x v="46"/>
    <n v="36.32"/>
    <s v="Cash on Delivery"/>
    <n v="5"/>
    <b v="0"/>
    <x v="1"/>
    <n v="10"/>
    <m/>
    <s v="Mid Age"/>
  </r>
  <r>
    <s v="ORD-04111"/>
    <d v="2024-11-22T00:00:00"/>
    <s v="CUST99588"/>
    <s v="Meera Kumar"/>
    <n v="57"/>
    <x v="2"/>
    <x v="0"/>
    <s v="Indore"/>
    <x v="3"/>
    <x v="19"/>
    <n v="7"/>
    <n v="785.67"/>
    <n v="0.12"/>
    <x v="47"/>
    <x v="47"/>
    <n v="63.64"/>
    <s v="Credit Card"/>
    <n v="3"/>
    <b v="0"/>
    <x v="1"/>
    <n v="2"/>
    <m/>
    <s v="Old Age"/>
  </r>
  <r>
    <s v="ORD-00707"/>
    <d v="2020-11-16T00:00:00"/>
    <s v="CUST43806"/>
    <s v="Nikhil Reddy"/>
    <n v="36"/>
    <x v="2"/>
    <x v="2"/>
    <s v="Ludhiana"/>
    <x v="4"/>
    <x v="26"/>
    <n v="2"/>
    <n v="1557.26"/>
    <n v="0.13"/>
    <x v="48"/>
    <x v="48"/>
    <n v="50.66"/>
    <s v="EMI"/>
    <n v="2"/>
    <b v="0"/>
    <x v="1"/>
    <n v="10"/>
    <m/>
    <s v="Mid Age"/>
  </r>
  <r>
    <s v="ORD-01870"/>
    <d v="2022-04-05T00:00:00"/>
    <s v="CUST73941"/>
    <s v="Aditya Mehta"/>
    <n v="48"/>
    <x v="1"/>
    <x v="3"/>
    <s v="Bhubaneswar"/>
    <x v="0"/>
    <x v="4"/>
    <n v="2"/>
    <n v="393.55"/>
    <n v="0.02"/>
    <x v="49"/>
    <x v="49"/>
    <n v="87.03"/>
    <s v="Debit Card"/>
    <n v="1"/>
    <b v="0"/>
    <x v="1"/>
    <n v="1"/>
    <m/>
    <s v="Old Age"/>
  </r>
  <r>
    <s v="ORD-01047"/>
    <d v="2021-04-20T00:00:00"/>
    <s v="CUST61067"/>
    <s v="Meera Chatterjee"/>
    <n v="34"/>
    <x v="2"/>
    <x v="2"/>
    <s v="Ludhiana"/>
    <x v="6"/>
    <x v="20"/>
    <n v="5"/>
    <n v="8244.31"/>
    <n v="0.12"/>
    <x v="50"/>
    <x v="50"/>
    <n v="51.59"/>
    <s v="Cash on Delivery"/>
    <n v="1"/>
    <b v="0"/>
    <x v="1"/>
    <n v="4"/>
    <m/>
    <s v="Mid Age"/>
  </r>
  <r>
    <s v="ORD-01968"/>
    <d v="2022-05-20T00:00:00"/>
    <s v="CUST46310"/>
    <s v="Sanjay Kapoor"/>
    <n v="28"/>
    <x v="1"/>
    <x v="3"/>
    <s v="Guwahati"/>
    <x v="3"/>
    <x v="19"/>
    <n v="5"/>
    <n v="1063.6199999999999"/>
    <n v="0.16"/>
    <x v="51"/>
    <x v="51"/>
    <n v="62.28"/>
    <s v="UPI"/>
    <s v="N/A"/>
    <b v="0"/>
    <x v="1"/>
    <n v="5"/>
    <m/>
    <s v="Mid Age"/>
  </r>
  <r>
    <s v="ORD-03033"/>
    <d v="2023-08-05T00:00:00"/>
    <s v="CUST52453"/>
    <s v="Vikram Shah"/>
    <n v="34"/>
    <x v="0"/>
    <x v="2"/>
    <s v="Amritsar"/>
    <x v="0"/>
    <x v="0"/>
    <n v="7"/>
    <n v="315.62"/>
    <n v="0.28000000000000003"/>
    <x v="52"/>
    <x v="52"/>
    <n v="72.63"/>
    <s v="Credit Card"/>
    <n v="5"/>
    <b v="0"/>
    <x v="1"/>
    <n v="7"/>
    <m/>
    <s v="Mid Age"/>
  </r>
  <r>
    <s v="ORD-02831"/>
    <d v="2023-05-17T00:00:00"/>
    <s v="CUST55922"/>
    <s v="Aditya Pillai"/>
    <n v="51"/>
    <x v="2"/>
    <x v="1"/>
    <s v="Ahmedabad"/>
    <x v="1"/>
    <x v="10"/>
    <n v="1"/>
    <n v="697.15"/>
    <n v="0.18"/>
    <x v="53"/>
    <x v="53"/>
    <n v="48.84"/>
    <s v="Debit Card"/>
    <n v="3"/>
    <b v="0"/>
    <x v="2"/>
    <n v="10"/>
    <m/>
    <s v="Old Age"/>
  </r>
  <r>
    <s v="ORD-00489"/>
    <d v="2020-08-03T00:00:00"/>
    <s v="CUST85726"/>
    <s v="Ritu Verma"/>
    <n v="34"/>
    <x v="1"/>
    <x v="0"/>
    <s v="Raipur"/>
    <x v="5"/>
    <x v="15"/>
    <n v="2"/>
    <n v="52363.15"/>
    <n v="0.25"/>
    <x v="54"/>
    <x v="54"/>
    <n v="45.26"/>
    <s v="Net Banking"/>
    <n v="2"/>
    <b v="0"/>
    <x v="2"/>
    <n v="9"/>
    <m/>
    <s v="Mid Age"/>
  </r>
  <r>
    <s v="ORD-00364"/>
    <d v="2020-06-04T00:00:00"/>
    <s v="CUST12024"/>
    <s v="Shreya Kumar"/>
    <n v="37"/>
    <x v="1"/>
    <x v="1"/>
    <s v="Surat"/>
    <x v="6"/>
    <x v="20"/>
    <n v="3"/>
    <n v="2684.91"/>
    <n v="0.15"/>
    <x v="55"/>
    <x v="55"/>
    <n v="67.28"/>
    <s v="Net Banking"/>
    <n v="2"/>
    <b v="0"/>
    <x v="1"/>
    <n v="9"/>
    <m/>
    <s v="Mid Age"/>
  </r>
  <r>
    <s v="ORD-03081"/>
    <d v="2023-08-22T00:00:00"/>
    <s v="CUST01739"/>
    <s v="Rohan Nair"/>
    <n v="42"/>
    <x v="2"/>
    <x v="2"/>
    <s v="Amritsar"/>
    <x v="3"/>
    <x v="30"/>
    <n v="4"/>
    <n v="889.6"/>
    <n v="0.36"/>
    <x v="56"/>
    <x v="56"/>
    <n v="58.16"/>
    <s v="Credit Card"/>
    <n v="3"/>
    <b v="1"/>
    <x v="0"/>
    <n v="3"/>
    <m/>
    <s v="Old Age"/>
  </r>
  <r>
    <s v="ORD-00357"/>
    <d v="2020-06-02T00:00:00"/>
    <s v="CUST75375"/>
    <s v="Priya Joshi"/>
    <n v="41"/>
    <x v="2"/>
    <x v="0"/>
    <s v="Nagpur"/>
    <x v="4"/>
    <x v="26"/>
    <n v="2"/>
    <n v="1548.43"/>
    <n v="0.38"/>
    <x v="57"/>
    <x v="57"/>
    <n v="49.01"/>
    <s v="EMI"/>
    <n v="1"/>
    <b v="0"/>
    <x v="1"/>
    <n v="45"/>
    <m/>
    <s v="Old Age"/>
  </r>
  <r>
    <s v="ORD-03752"/>
    <d v="2024-06-22T00:00:00"/>
    <s v="CUST35687"/>
    <s v="Deepa Nair"/>
    <n v="42"/>
    <x v="0"/>
    <x v="1"/>
    <s v="Surat"/>
    <x v="3"/>
    <x v="19"/>
    <n v="1"/>
    <n v="787.78"/>
    <n v="0.15"/>
    <x v="58"/>
    <x v="58"/>
    <n v="47.1"/>
    <s v="Credit Card"/>
    <n v="2"/>
    <b v="0"/>
    <x v="1"/>
    <n v="9"/>
    <m/>
    <s v="Old Age"/>
  </r>
  <r>
    <s v="ORD-00117"/>
    <d v="2020-02-12T00:00:00"/>
    <s v="CUST33188"/>
    <s v="Sanjay Joshi"/>
    <n v="48"/>
    <x v="2"/>
    <x v="4"/>
    <s v="Kochi"/>
    <x v="6"/>
    <x v="31"/>
    <n v="3"/>
    <n v="6047.51"/>
    <n v="0.08"/>
    <x v="59"/>
    <x v="59"/>
    <n v="36.15"/>
    <s v="Debit Card"/>
    <n v="4"/>
    <b v="0"/>
    <x v="1"/>
    <n v="3"/>
    <m/>
    <s v="Old Age"/>
  </r>
  <r>
    <s v="ORD-00225"/>
    <d v="2020-04-08T00:00:00"/>
    <s v="CUST97307"/>
    <s v="Ritu Gupta"/>
    <n v="37"/>
    <x v="1"/>
    <x v="0"/>
    <s v="Nagpur"/>
    <x v="6"/>
    <x v="27"/>
    <n v="1"/>
    <n v="5935.12"/>
    <n v="0.08"/>
    <x v="60"/>
    <x v="60"/>
    <n v="47.97"/>
    <s v="Credit Card"/>
    <n v="5"/>
    <b v="0"/>
    <x v="1"/>
    <n v="7"/>
    <m/>
    <s v="Mid Age"/>
  </r>
  <r>
    <s v="ORD-01273"/>
    <d v="2021-07-28T00:00:00"/>
    <s v="CUST00699"/>
    <s v="Shreya Nair"/>
    <n v="51"/>
    <x v="2"/>
    <x v="1"/>
    <s v="Pune"/>
    <x v="3"/>
    <x v="32"/>
    <m/>
    <n v="1490.57"/>
    <n v="0.13"/>
    <x v="61"/>
    <x v="61"/>
    <n v="65.569999999999993"/>
    <s v="EMI"/>
    <n v="1"/>
    <b v="0"/>
    <x v="1"/>
    <n v="7"/>
    <m/>
    <s v="Old Age"/>
  </r>
  <r>
    <s v="ORD-01912"/>
    <d v="2022-04-25T00:00:00"/>
    <s v="CUST02114"/>
    <s v="Ananya Verma"/>
    <s v="N/A"/>
    <x v="1"/>
    <x v="4"/>
    <s v="Chennai"/>
    <x v="4"/>
    <x v="12"/>
    <n v="2"/>
    <n v="1244.43"/>
    <n v="0.23"/>
    <x v="62"/>
    <x v="62"/>
    <n v="75.05"/>
    <s v="Net Banking"/>
    <n v="5"/>
    <b v="0"/>
    <x v="1"/>
    <n v="2"/>
    <m/>
    <s v="Old Age"/>
  </r>
  <r>
    <s v="ORD-02247"/>
    <d v="2022-09-07T00:00:00"/>
    <s v="CUST68290"/>
    <s v="Karan Kapoor"/>
    <n v="38"/>
    <x v="0"/>
    <x v="2"/>
    <s v="Chandigarh"/>
    <x v="2"/>
    <x v="13"/>
    <n v="2"/>
    <n v="22082.21"/>
    <n v="0"/>
    <x v="63"/>
    <x v="63"/>
    <n v="70.14"/>
    <s v="Debit Card"/>
    <n v="1"/>
    <b v="0"/>
    <x v="2"/>
    <n v="7"/>
    <m/>
    <s v="Mid Age"/>
  </r>
  <r>
    <s v="ORD-00966"/>
    <d v="2021-03-17T00:00:00"/>
    <s v="CUST15832"/>
    <s v="Aarav Pillai"/>
    <n v="22"/>
    <x v="0"/>
    <x v="3"/>
    <s v="Kolkata"/>
    <x v="5"/>
    <x v="21"/>
    <n v="4"/>
    <n v="11157.11"/>
    <n v="0.38"/>
    <x v="64"/>
    <x v="64"/>
    <n v="55.14"/>
    <s v="Credit Card"/>
    <n v="1"/>
    <b v="1"/>
    <x v="0"/>
    <n v="8"/>
    <m/>
    <s v="Young Age"/>
  </r>
  <r>
    <s v="ORD-00879"/>
    <d v="2021-02-02T00:00:00"/>
    <s v="CUST52790"/>
    <s v="Deepa Pillai"/>
    <n v="17"/>
    <x v="0"/>
    <x v="3"/>
    <s v="Kolkata"/>
    <x v="3"/>
    <x v="19"/>
    <n v="7"/>
    <n v="914.96"/>
    <n v="0.36"/>
    <x v="65"/>
    <x v="65"/>
    <n v="77.84"/>
    <s v="UPI"/>
    <s v="N/A"/>
    <b v="0"/>
    <x v="1"/>
    <n v="5"/>
    <m/>
    <s v="Young Age"/>
  </r>
  <r>
    <s v="ORD-01339"/>
    <d v="2021-08-24T00:00:00"/>
    <s v="CUST94587"/>
    <s v="Aditya Gupta"/>
    <n v="32"/>
    <x v="1"/>
    <x v="2"/>
    <s v="Chandigarh"/>
    <x v="4"/>
    <x v="16"/>
    <n v="5"/>
    <n v="1008.19"/>
    <n v="0.27"/>
    <x v="66"/>
    <x v="66"/>
    <n v="53.22"/>
    <s v="UPI"/>
    <n v="1"/>
    <b v="0"/>
    <x v="1"/>
    <n v="4"/>
    <m/>
    <s v="Mid Age"/>
  </r>
  <r>
    <s v="ORD-03248"/>
    <d v="2023-11-04T00:00:00"/>
    <s v="CUST43818"/>
    <s v="Arjun Bhat"/>
    <n v="30"/>
    <x v="1"/>
    <x v="4"/>
    <s v="Kochi"/>
    <x v="4"/>
    <x v="6"/>
    <n v="7"/>
    <n v="2102.17"/>
    <n v="0.13"/>
    <x v="67"/>
    <x v="67"/>
    <n v="62.02"/>
    <s v="Net Banking"/>
    <s v="N/A"/>
    <b v="0"/>
    <x v="4"/>
    <n v="8"/>
    <m/>
    <s v="Mid Age"/>
  </r>
  <r>
    <s v="ORD-00099"/>
    <d v="2020-02-08T00:00:00"/>
    <s v="CUST15599"/>
    <s v="Karan Shah"/>
    <n v="33"/>
    <x v="0"/>
    <x v="1"/>
    <s v="Pune"/>
    <x v="2"/>
    <x v="13"/>
    <n v="9"/>
    <n v="22687.65"/>
    <n v="0.33"/>
    <x v="68"/>
    <x v="68"/>
    <n v="45.04"/>
    <s v="Net Banking"/>
    <s v="N/A"/>
    <b v="0"/>
    <x v="1"/>
    <n v="2"/>
    <m/>
    <s v="Mid Age"/>
  </r>
  <r>
    <s v="ORD-00849"/>
    <d v="2021-01-21T00:00:00"/>
    <s v="CUST59483"/>
    <s v="Nisha Shah"/>
    <n v="26"/>
    <x v="0"/>
    <x v="2"/>
    <s v="Ludhiana"/>
    <x v="5"/>
    <x v="33"/>
    <n v="10"/>
    <n v="57148.46"/>
    <n v="0.06"/>
    <x v="69"/>
    <x v="69"/>
    <n v="33.07"/>
    <s v="EMI"/>
    <n v="1"/>
    <b v="1"/>
    <x v="0"/>
    <s v="N/A"/>
    <m/>
    <s v="Mid Age"/>
  </r>
  <r>
    <s v="ORD-02850"/>
    <d v="2023-05-26T00:00:00"/>
    <s v="CUST30753"/>
    <s v="Deepa Chatterjee"/>
    <n v="28"/>
    <x v="1"/>
    <x v="2"/>
    <s v="Chandigarh"/>
    <x v="2"/>
    <x v="24"/>
    <m/>
    <n v="5493.74"/>
    <n v="0.2"/>
    <x v="70"/>
    <x v="70"/>
    <n v="49"/>
    <s v="Credit Card"/>
    <n v="1"/>
    <b v="0"/>
    <x v="1"/>
    <n v="5"/>
    <m/>
    <s v="Mid Age"/>
  </r>
  <r>
    <s v="ORD-03177"/>
    <d v="2023-10-05T00:00:00"/>
    <s v="CUST99258"/>
    <s v="Ananya Joshi"/>
    <n v="45"/>
    <x v="0"/>
    <x v="0"/>
    <s v="Raipur"/>
    <x v="2"/>
    <x v="2"/>
    <n v="2"/>
    <n v="7616.64"/>
    <n v="0.34"/>
    <x v="71"/>
    <x v="71"/>
    <n v="29.23"/>
    <s v="Net Banking"/>
    <n v="4"/>
    <b v="0"/>
    <x v="1"/>
    <n v="1"/>
    <m/>
    <s v="Old Age"/>
  </r>
  <r>
    <s v="ORD-02058"/>
    <d v="2022-06-27T00:00:00"/>
    <s v="CUST44617"/>
    <s v="Nikhil Reddy"/>
    <n v="21"/>
    <x v="0"/>
    <x v="4"/>
    <s v="Bangalore"/>
    <x v="2"/>
    <x v="28"/>
    <n v="8"/>
    <n v="3549.62"/>
    <n v="0.22"/>
    <x v="72"/>
    <x v="72"/>
    <n v="77.819999999999993"/>
    <s v="EMI"/>
    <n v="5"/>
    <b v="1"/>
    <x v="0"/>
    <n v="5"/>
    <m/>
    <s v="Young Age"/>
  </r>
  <r>
    <s v="ORD-03092"/>
    <d v="2023-08-29T00:00:00"/>
    <s v="CUST21970"/>
    <s v="Rahul Verma"/>
    <s v="N/A"/>
    <x v="0"/>
    <x v="3"/>
    <s v="Bhubaneswar"/>
    <x v="5"/>
    <x v="17"/>
    <n v="3"/>
    <n v="15632.25"/>
    <n v="0.34"/>
    <x v="73"/>
    <x v="73"/>
    <n v="65.5"/>
    <s v="UPI"/>
    <n v="5"/>
    <b v="0"/>
    <x v="1"/>
    <n v="1"/>
    <m/>
    <s v="Old Age"/>
  </r>
  <r>
    <s v="ORD-02241"/>
    <d v="2022-09-04T00:00:00"/>
    <s v="CUST64655"/>
    <s v="Kavya Patel"/>
    <n v="21"/>
    <x v="2"/>
    <x v="3"/>
    <s v="Guwahati"/>
    <x v="5"/>
    <x v="17"/>
    <n v="4"/>
    <n v="41499.339999999997"/>
    <n v="0"/>
    <x v="74"/>
    <x v="74"/>
    <n v="73.44"/>
    <s v="Debit Card"/>
    <n v="4"/>
    <b v="0"/>
    <x v="4"/>
    <n v="1"/>
    <m/>
    <s v="Young Age"/>
  </r>
  <r>
    <s v="ORD-01278"/>
    <d v="2021-07-31T00:00:00"/>
    <s v="CUST65126"/>
    <s v="Arjun Mishra"/>
    <n v="48"/>
    <x v="0"/>
    <x v="3"/>
    <s v="Bhubaneswar"/>
    <x v="4"/>
    <x v="7"/>
    <m/>
    <n v="3288.5"/>
    <n v="0.01"/>
    <x v="75"/>
    <x v="75"/>
    <n v="103.27"/>
    <s v="Cash on Delivery"/>
    <s v="N/A"/>
    <b v="0"/>
    <x v="1"/>
    <n v="4"/>
    <m/>
    <s v="Old Age"/>
  </r>
  <r>
    <s v="ORD-03281"/>
    <d v="2023-11-17T00:00:00"/>
    <s v="CUST21469"/>
    <s v="Shreya Nair"/>
    <n v="43"/>
    <x v="0"/>
    <x v="2"/>
    <s v="Amritsar"/>
    <x v="6"/>
    <x v="20"/>
    <n v="4"/>
    <n v="3010.43"/>
    <n v="0.27"/>
    <x v="76"/>
    <x v="76"/>
    <n v="51.24"/>
    <s v="Cash on Delivery"/>
    <n v="3"/>
    <b v="0"/>
    <x v="1"/>
    <s v="N/A"/>
    <m/>
    <s v="Old Age"/>
  </r>
  <r>
    <s v="ORD-00011"/>
    <d v="2020-01-03T00:00:00"/>
    <s v="CUST64950"/>
    <s v="Nisha Mehta"/>
    <n v="23"/>
    <x v="2"/>
    <x v="4"/>
    <s v="Hyderabad"/>
    <x v="2"/>
    <x v="2"/>
    <n v="8"/>
    <n v="22523.15"/>
    <n v="0.34"/>
    <x v="77"/>
    <x v="77"/>
    <n v="65.72"/>
    <s v="EMI"/>
    <n v="2"/>
    <b v="0"/>
    <x v="1"/>
    <n v="5"/>
    <m/>
    <s v="Young Age"/>
  </r>
  <r>
    <s v="ORD-00058"/>
    <d v="2020-01-22T00:00:00"/>
    <s v="CUST60127"/>
    <s v="Ritu Kapoor"/>
    <n v="16"/>
    <x v="0"/>
    <x v="4"/>
    <s v="Bangalore"/>
    <x v="3"/>
    <x v="32"/>
    <n v="4"/>
    <n v="363.32"/>
    <n v="7.0000000000000007E-2"/>
    <x v="78"/>
    <x v="78"/>
    <n v="89.93"/>
    <s v="EMI"/>
    <n v="5"/>
    <b v="0"/>
    <x v="4"/>
    <n v="5"/>
    <m/>
    <s v="Young Age"/>
  </r>
  <r>
    <s v="ORD-02876"/>
    <d v="2023-06-02T00:00:00"/>
    <s v="CUST23195"/>
    <s v="Aditya Sharma"/>
    <n v="34"/>
    <x v="2"/>
    <x v="1"/>
    <s v="Surat"/>
    <x v="2"/>
    <x v="8"/>
    <n v="3"/>
    <n v="31229.73"/>
    <n v="0.32"/>
    <x v="79"/>
    <x v="79"/>
    <n v="53.79"/>
    <s v="EMI"/>
    <n v="5"/>
    <b v="0"/>
    <x v="2"/>
    <n v="3"/>
    <m/>
    <s v="Mid Age"/>
  </r>
  <r>
    <s v="ORD-02210"/>
    <d v="2022-08-21T00:00:00"/>
    <s v="CUST53700"/>
    <s v="Ananya Shah"/>
    <n v="49"/>
    <x v="2"/>
    <x v="4"/>
    <s v="Chennai"/>
    <x v="2"/>
    <x v="13"/>
    <n v="3"/>
    <n v="25395.64"/>
    <n v="0.3"/>
    <x v="80"/>
    <x v="80"/>
    <n v="86.28"/>
    <s v="UPI"/>
    <n v="4"/>
    <b v="0"/>
    <x v="1"/>
    <n v="5"/>
    <m/>
    <s v="Old Age"/>
  </r>
  <r>
    <s v="ORD-01057"/>
    <d v="2021-04-22T00:00:00"/>
    <s v="CUST83911"/>
    <s v="Aditya Das"/>
    <n v="27"/>
    <x v="1"/>
    <x v="2"/>
    <s v="Chandigarh"/>
    <x v="0"/>
    <x v="9"/>
    <n v="3"/>
    <n v="457.68"/>
    <n v="0.26"/>
    <x v="81"/>
    <x v="81"/>
    <n v="72.86"/>
    <s v="Cash on Delivery"/>
    <n v="3"/>
    <b v="0"/>
    <x v="1"/>
    <n v="2"/>
    <m/>
    <s v="Mid Age"/>
  </r>
  <r>
    <s v="ORD-02900"/>
    <d v="2023-06-07T00:00:00"/>
    <s v="CUST23268"/>
    <s v="Deepa Das"/>
    <n v="31"/>
    <x v="2"/>
    <x v="4"/>
    <s v="Chennai"/>
    <x v="3"/>
    <x v="5"/>
    <n v="1"/>
    <n v="715.84"/>
    <n v="0.24"/>
    <x v="82"/>
    <x v="82"/>
    <n v="59.5"/>
    <s v="Credit Card"/>
    <n v="2"/>
    <b v="0"/>
    <x v="1"/>
    <n v="4"/>
    <m/>
    <s v="Mid Age"/>
  </r>
  <r>
    <s v="ORD-04048"/>
    <d v="2024-10-23T00:00:00"/>
    <s v="CUST20477"/>
    <s v="Sanjay Verma"/>
    <s v="N/A"/>
    <x v="2"/>
    <x v="3"/>
    <s v="Guwahati"/>
    <x v="6"/>
    <x v="20"/>
    <n v="4"/>
    <n v="9803"/>
    <n v="0.33"/>
    <x v="83"/>
    <x v="83"/>
    <n v="88.57"/>
    <s v="UPI"/>
    <n v="4"/>
    <b v="0"/>
    <x v="3"/>
    <n v="6"/>
    <m/>
    <s v="Old Age"/>
  </r>
  <r>
    <s v="ORD-00402"/>
    <d v="2020-06-21T00:00:00"/>
    <s v="CUST55018"/>
    <s v="Vikram Nair"/>
    <n v="37"/>
    <x v="0"/>
    <x v="4"/>
    <s v="Chennai"/>
    <x v="5"/>
    <x v="17"/>
    <n v="5"/>
    <n v="28892.57"/>
    <n v="7.0000000000000007E-2"/>
    <x v="84"/>
    <x v="84"/>
    <n v="84.72"/>
    <s v="Debit Card"/>
    <n v="5"/>
    <b v="0"/>
    <x v="1"/>
    <n v="6"/>
    <m/>
    <s v="Mid Age"/>
  </r>
  <r>
    <s v="ORD-01747"/>
    <d v="2022-02-14T00:00:00"/>
    <s v="CUST14531"/>
    <s v="Meera Gupta"/>
    <n v="27"/>
    <x v="1"/>
    <x v="2"/>
    <s v="Ludhiana"/>
    <x v="2"/>
    <x v="8"/>
    <n v="9"/>
    <n v="14001.85"/>
    <n v="0.05"/>
    <x v="85"/>
    <x v="85"/>
    <n v="55.44"/>
    <s v="UPI"/>
    <n v="1"/>
    <b v="1"/>
    <x v="0"/>
    <n v="1"/>
    <m/>
    <s v="Mid Age"/>
  </r>
  <r>
    <s v="ORD-00593"/>
    <d v="2020-09-22T00:00:00"/>
    <s v="CUST21963"/>
    <s v="Priya Bhat"/>
    <n v="38"/>
    <x v="0"/>
    <x v="0"/>
    <s v="Bhopal"/>
    <x v="2"/>
    <x v="8"/>
    <n v="8"/>
    <n v="30292.85"/>
    <n v="0.28999999999999998"/>
    <x v="86"/>
    <x v="86"/>
    <n v="51.64"/>
    <s v="EMI"/>
    <s v="N/A"/>
    <b v="0"/>
    <x v="1"/>
    <n v="5"/>
    <m/>
    <s v="Mid Age"/>
  </r>
  <r>
    <s v="ORD-04017"/>
    <d v="2024-10-03T00:00:00"/>
    <s v="CUST02198"/>
    <s v="Meera Singh"/>
    <n v="34"/>
    <x v="1"/>
    <x v="3"/>
    <s v="Kolkata"/>
    <x v="6"/>
    <x v="27"/>
    <n v="2"/>
    <n v="2854.89"/>
    <n v="0.06"/>
    <x v="87"/>
    <x v="87"/>
    <n v="86.84"/>
    <s v="UPI"/>
    <n v="3"/>
    <b v="0"/>
    <x v="1"/>
    <n v="9"/>
    <m/>
    <s v="Mid Age"/>
  </r>
  <r>
    <s v="ORD-02956"/>
    <d v="2023-07-04T00:00:00"/>
    <s v="CUST64061"/>
    <s v="Rohan Pillai"/>
    <n v="10"/>
    <x v="0"/>
    <x v="4"/>
    <s v="Chennai"/>
    <x v="4"/>
    <x v="12"/>
    <n v="9"/>
    <n v="1340.2"/>
    <n v="0.38"/>
    <x v="88"/>
    <x v="88"/>
    <n v="105.03"/>
    <s v="Cash on Delivery"/>
    <n v="3"/>
    <b v="0"/>
    <x v="3"/>
    <n v="4"/>
    <m/>
    <s v="Young Age"/>
  </r>
  <r>
    <s v="ORD-00634"/>
    <d v="2020-10-11T00:00:00"/>
    <s v="CUST01277"/>
    <s v="Sanjay Iyer"/>
    <n v="22"/>
    <x v="2"/>
    <x v="1"/>
    <s v="Surat"/>
    <x v="2"/>
    <x v="24"/>
    <n v="7"/>
    <n v="34455.919999999998"/>
    <n v="0.28000000000000003"/>
    <x v="89"/>
    <x v="89"/>
    <n v="54.2"/>
    <s v="Debit Card"/>
    <n v="3"/>
    <b v="0"/>
    <x v="1"/>
    <n v="7"/>
    <m/>
    <s v="Young Age"/>
  </r>
  <r>
    <s v="ORD-03084"/>
    <d v="2023-08-25T00:00:00"/>
    <s v="CUST97761"/>
    <s v="Rahul Verma"/>
    <n v="25"/>
    <x v="2"/>
    <x v="3"/>
    <s v="Bhubaneswar"/>
    <x v="3"/>
    <x v="5"/>
    <n v="10"/>
    <n v="755.47"/>
    <n v="0.04"/>
    <x v="90"/>
    <x v="90"/>
    <n v="94.06"/>
    <s v="Credit Card"/>
    <s v="N/A"/>
    <b v="0"/>
    <x v="3"/>
    <n v="5"/>
    <m/>
    <s v="Young Age"/>
  </r>
  <r>
    <s v="ORD-01699"/>
    <d v="2022-01-28T00:00:00"/>
    <s v="CUST22943"/>
    <s v="Nisha Shah"/>
    <n v="42"/>
    <x v="1"/>
    <x v="2"/>
    <s v="Amritsar"/>
    <x v="6"/>
    <x v="27"/>
    <n v="10"/>
    <n v="6054.48"/>
    <n v="0.06"/>
    <x v="91"/>
    <x v="91"/>
    <n v="59.24"/>
    <s v="Credit Card"/>
    <n v="1"/>
    <b v="1"/>
    <x v="0"/>
    <n v="6"/>
    <m/>
    <s v="Old Age"/>
  </r>
  <r>
    <s v="ORD-01353"/>
    <d v="2021-09-01T00:00:00"/>
    <s v="CUST45393"/>
    <s v="Shreya Reddy"/>
    <n v="42"/>
    <x v="1"/>
    <x v="4"/>
    <s v="Hyderabad"/>
    <x v="2"/>
    <x v="28"/>
    <n v="10"/>
    <n v="8753.1200000000008"/>
    <n v="0.28000000000000003"/>
    <x v="92"/>
    <x v="92"/>
    <n v="87.75"/>
    <s v="EMI"/>
    <n v="5"/>
    <b v="0"/>
    <x v="1"/>
    <n v="8"/>
    <m/>
    <s v="Old Age"/>
  </r>
  <r>
    <s v="ORD-02391"/>
    <d v="2022-11-01T00:00:00"/>
    <s v="CUST63245"/>
    <s v="Ananya Verma"/>
    <n v="29"/>
    <x v="1"/>
    <x v="0"/>
    <s v="Indore"/>
    <x v="3"/>
    <x v="32"/>
    <n v="4"/>
    <n v="1320.32"/>
    <n v="0.01"/>
    <x v="93"/>
    <x v="93"/>
    <n v="39.090000000000003"/>
    <s v="Debit Card"/>
    <n v="3"/>
    <b v="0"/>
    <x v="1"/>
    <n v="5"/>
    <m/>
    <s v="Mid Age"/>
  </r>
  <r>
    <s v="ORD-00729"/>
    <d v="2020-11-30T00:00:00"/>
    <s v="CUST88249"/>
    <s v="Karan Das"/>
    <n v="33"/>
    <x v="2"/>
    <x v="1"/>
    <s v="Surat"/>
    <x v="3"/>
    <x v="11"/>
    <n v="8"/>
    <n v="707.31"/>
    <n v="0.15"/>
    <x v="94"/>
    <x v="94"/>
    <n v="65.92"/>
    <s v="Net Banking"/>
    <n v="4"/>
    <b v="0"/>
    <x v="1"/>
    <n v="9"/>
    <m/>
    <s v="Mid Age"/>
  </r>
  <r>
    <s v="ORD-03692"/>
    <d v="2024-05-22T00:00:00"/>
    <s v="CUST93738"/>
    <s v="Rohan Gupta"/>
    <s v="N/A"/>
    <x v="1"/>
    <x v="2"/>
    <s v="Delhi"/>
    <x v="0"/>
    <x v="9"/>
    <n v="5"/>
    <n v="309.97000000000003"/>
    <n v="0.04"/>
    <x v="95"/>
    <x v="95"/>
    <n v="37.340000000000003"/>
    <s v="Cash on Delivery"/>
    <n v="5"/>
    <b v="0"/>
    <x v="4"/>
    <n v="4"/>
    <m/>
    <s v="Old Age"/>
  </r>
  <r>
    <s v="ORD-01385"/>
    <d v="2021-09-18T00:00:00"/>
    <s v="CUST85642"/>
    <s v="Priya Singh"/>
    <n v="42"/>
    <x v="0"/>
    <x v="3"/>
    <s v="Kolkata"/>
    <x v="6"/>
    <x v="22"/>
    <n v="8"/>
    <n v="12223.45"/>
    <n v="0.4"/>
    <x v="96"/>
    <x v="96"/>
    <n v="68.510000000000005"/>
    <s v="Net Banking"/>
    <n v="4"/>
    <b v="0"/>
    <x v="1"/>
    <n v="7"/>
    <m/>
    <s v="Old Age"/>
  </r>
  <r>
    <s v="ORD-02434"/>
    <d v="2022-11-20T00:00:00"/>
    <s v="CUST85190"/>
    <s v="Nikhil Patel"/>
    <n v="45"/>
    <x v="0"/>
    <x v="1"/>
    <s v="Surat"/>
    <x v="5"/>
    <x v="15"/>
    <n v="4"/>
    <n v="73017.83"/>
    <n v="0.22"/>
    <x v="97"/>
    <x v="97"/>
    <n v="32.14"/>
    <s v="Credit Card"/>
    <n v="3"/>
    <b v="0"/>
    <x v="1"/>
    <n v="8"/>
    <m/>
    <s v="Old Age"/>
  </r>
  <r>
    <s v="ORD-00158"/>
    <d v="2020-03-07T00:00:00"/>
    <s v="CUST56042"/>
    <s v="Deepa Rao"/>
    <n v="35"/>
    <x v="2"/>
    <x v="3"/>
    <s v="Bhubaneswar"/>
    <x v="2"/>
    <x v="28"/>
    <n v="8"/>
    <n v="25624.31"/>
    <n v="0.12"/>
    <x v="98"/>
    <x v="98"/>
    <n v="65.63"/>
    <s v="Credit Card"/>
    <n v="1"/>
    <b v="0"/>
    <x v="1"/>
    <n v="3"/>
    <m/>
    <s v="Mid Age"/>
  </r>
  <r>
    <s v="ORD-00857"/>
    <d v="2021-01-25T00:00:00"/>
    <s v="CUST59535"/>
    <s v="Vikram Gupta"/>
    <n v="49"/>
    <x v="1"/>
    <x v="0"/>
    <s v="Nagpur"/>
    <x v="1"/>
    <x v="23"/>
    <n v="4"/>
    <n v="521.44000000000005"/>
    <n v="0.14000000000000001"/>
    <x v="99"/>
    <x v="99"/>
    <n v="50.42"/>
    <s v="UPI"/>
    <n v="1"/>
    <b v="0"/>
    <x v="2"/>
    <n v="10"/>
    <m/>
    <s v="Old Age"/>
  </r>
  <r>
    <s v="ORD-03406"/>
    <d v="2024-01-15T00:00:00"/>
    <s v="CUST62905"/>
    <s v="Vikram Iyer"/>
    <n v="41"/>
    <x v="0"/>
    <x v="0"/>
    <s v="Raipur"/>
    <x v="4"/>
    <x v="6"/>
    <n v="6"/>
    <n v="3871.22"/>
    <n v="0.33"/>
    <x v="100"/>
    <x v="100"/>
    <n v="43.12"/>
    <s v="Debit Card"/>
    <n v="4"/>
    <b v="0"/>
    <x v="1"/>
    <n v="3"/>
    <m/>
    <s v="Old Age"/>
  </r>
  <r>
    <s v="ORD-02843"/>
    <d v="2023-05-24T00:00:00"/>
    <s v="CUST04791"/>
    <s v="Rahul Verma"/>
    <n v="24"/>
    <x v="0"/>
    <x v="1"/>
    <s v="Mumbai"/>
    <x v="3"/>
    <x v="5"/>
    <n v="8"/>
    <n v="579.77"/>
    <n v="0.36"/>
    <x v="101"/>
    <x v="101"/>
    <n v="42.6"/>
    <s v="Debit Card"/>
    <n v="3"/>
    <b v="0"/>
    <x v="1"/>
    <n v="7"/>
    <m/>
    <s v="Young Age"/>
  </r>
  <r>
    <s v="ORD-01014"/>
    <d v="2021-04-04T00:00:00"/>
    <s v="CUST62653"/>
    <s v="Nikhil Mishra"/>
    <n v="26"/>
    <x v="1"/>
    <x v="2"/>
    <s v="Amritsar"/>
    <x v="0"/>
    <x v="4"/>
    <n v="1"/>
    <n v="116.68"/>
    <n v="0.06"/>
    <x v="102"/>
    <x v="102"/>
    <n v="47.55"/>
    <s v="Credit Card"/>
    <n v="1"/>
    <b v="0"/>
    <x v="1"/>
    <n v="8"/>
    <m/>
    <s v="Mid Age"/>
  </r>
  <r>
    <s v="ORD-02991"/>
    <s v="19/07/2023"/>
    <s v="CUST01027"/>
    <s v="Nikhil Reddy"/>
    <s v="N/A"/>
    <x v="0"/>
    <x v="2"/>
    <s v="Delhi"/>
    <x v="0"/>
    <x v="34"/>
    <n v="4"/>
    <n v="161.52000000000001"/>
    <n v="0.17"/>
    <x v="103"/>
    <x v="103"/>
    <n v="45.84"/>
    <s v="Net Banking"/>
    <n v="4"/>
    <b v="0"/>
    <x v="3"/>
    <n v="8"/>
    <m/>
    <s v="Old Age"/>
  </r>
  <r>
    <s v="ORD-01087"/>
    <d v="2021-05-06T00:00:00"/>
    <s v="CUST29357"/>
    <s v="Meera Nair"/>
    <n v="33"/>
    <x v="0"/>
    <x v="1"/>
    <s v="Pune"/>
    <x v="3"/>
    <x v="32"/>
    <n v="7"/>
    <n v="1042.98"/>
    <n v="0.3"/>
    <x v="104"/>
    <x v="104"/>
    <n v="61.15"/>
    <s v="Debit Card"/>
    <n v="2"/>
    <b v="1"/>
    <x v="0"/>
    <n v="4"/>
    <m/>
    <s v="Mid Age"/>
  </r>
  <r>
    <s v="ORD-00943"/>
    <d v="2021-03-02T00:00:00"/>
    <s v="CUST48937"/>
    <s v="Nisha Iyer"/>
    <n v="14"/>
    <x v="2"/>
    <x v="0"/>
    <s v="Indore"/>
    <x v="4"/>
    <x v="26"/>
    <n v="3"/>
    <n v="3314.25"/>
    <n v="0.1"/>
    <x v="105"/>
    <x v="105"/>
    <n v="52.17"/>
    <s v="UPI"/>
    <s v="N/A"/>
    <b v="0"/>
    <x v="4"/>
    <n v="8"/>
    <m/>
    <s v="Young Age"/>
  </r>
  <r>
    <s v="ORD-03731"/>
    <d v="2024-06-15T00:00:00"/>
    <s v="CUST46976"/>
    <s v="Nikhil Sharma"/>
    <n v="11"/>
    <x v="1"/>
    <x v="3"/>
    <s v="Patna"/>
    <x v="5"/>
    <x v="15"/>
    <n v="3"/>
    <n v="48747.69"/>
    <n v="0.28999999999999998"/>
    <x v="106"/>
    <x v="106"/>
    <n v="42.24"/>
    <s v="Net Banking"/>
    <n v="5"/>
    <b v="0"/>
    <x v="1"/>
    <n v="6"/>
    <m/>
    <s v="Young Age"/>
  </r>
  <r>
    <s v="ORD-02485"/>
    <d v="2022-12-14T00:00:00"/>
    <s v="CUST69585"/>
    <s v="Sunita Joshi"/>
    <n v="12"/>
    <x v="1"/>
    <x v="1"/>
    <s v="Ahmedabad"/>
    <x v="3"/>
    <x v="11"/>
    <n v="9"/>
    <n v="1471.74"/>
    <n v="0.05"/>
    <x v="107"/>
    <x v="107"/>
    <n v="50.89"/>
    <s v="Cash on Delivery"/>
    <n v="4"/>
    <b v="0"/>
    <x v="1"/>
    <n v="7"/>
    <m/>
    <s v="Young Age"/>
  </r>
  <r>
    <s v="ORD-02773"/>
    <d v="2023-04-16T00:00:00"/>
    <s v="CUST69945"/>
    <s v="Rahul Das"/>
    <n v="36"/>
    <x v="1"/>
    <x v="1"/>
    <s v="Surat"/>
    <x v="5"/>
    <x v="21"/>
    <n v="8"/>
    <n v="27632.84"/>
    <n v="0.08"/>
    <x v="108"/>
    <x v="108"/>
    <n v="20.29"/>
    <s v="Net Banking"/>
    <n v="3"/>
    <b v="0"/>
    <x v="1"/>
    <n v="7"/>
    <m/>
    <s v="Mid Age"/>
  </r>
  <r>
    <s v="ORD-01093"/>
    <d v="2021-05-08T00:00:00"/>
    <s v="CUST80149"/>
    <s v="Pooja Mishra"/>
    <n v="37"/>
    <x v="0"/>
    <x v="1"/>
    <s v="Mumbai"/>
    <x v="6"/>
    <x v="31"/>
    <n v="7"/>
    <n v="11542.97"/>
    <n v="0.16"/>
    <x v="109"/>
    <x v="109"/>
    <n v="53.27"/>
    <s v="EMI"/>
    <n v="1"/>
    <b v="1"/>
    <x v="0"/>
    <n v="7"/>
    <m/>
    <s v="Mid Age"/>
  </r>
  <r>
    <s v="ORD-00101"/>
    <d v="2020-08-02T00:00:00"/>
    <s v="CUST45487"/>
    <s v="Sunita Joshi"/>
    <n v="34"/>
    <x v="0"/>
    <x v="1"/>
    <s v="Pune"/>
    <x v="3"/>
    <x v="11"/>
    <n v="8"/>
    <n v="1325.02"/>
    <n v="0.09"/>
    <x v="110"/>
    <x v="110"/>
    <n v="41.67"/>
    <s v="Debit Card"/>
    <n v="2"/>
    <b v="0"/>
    <x v="3"/>
    <n v="5"/>
    <m/>
    <s v="Mid Age"/>
  </r>
  <r>
    <s v="ORD-03804"/>
    <d v="2024-07-12T00:00:00"/>
    <s v="CUST42902"/>
    <s v="Rahul Kumar"/>
    <n v="50"/>
    <x v="0"/>
    <x v="4"/>
    <s v="Hyderabad"/>
    <x v="0"/>
    <x v="0"/>
    <n v="-1"/>
    <n v="84.21"/>
    <n v="0.13"/>
    <x v="111"/>
    <x v="111"/>
    <n v="47.91"/>
    <s v="Cash on Delivery"/>
    <n v="4"/>
    <b v="0"/>
    <x v="1"/>
    <n v="2"/>
    <m/>
    <s v="Old Age"/>
  </r>
  <r>
    <s v="ORD-02873"/>
    <d v="2023-06-01T00:00:00"/>
    <s v="CUST07917"/>
    <s v="Nikhil Nair"/>
    <n v="34"/>
    <x v="1"/>
    <x v="3"/>
    <s v="Guwahati"/>
    <x v="6"/>
    <x v="20"/>
    <n v="6"/>
    <n v="5611.57"/>
    <n v="0.2"/>
    <x v="112"/>
    <x v="112"/>
    <n v="97.42"/>
    <s v="Credit Card"/>
    <n v="5"/>
    <b v="0"/>
    <x v="1"/>
    <n v="2"/>
    <m/>
    <s v="Mid Age"/>
  </r>
  <r>
    <s v="ORD-03342"/>
    <d v="2023-12-16T00:00:00"/>
    <s v="CUST26677"/>
    <s v="Rahul Chatterjee"/>
    <n v="45"/>
    <x v="2"/>
    <x v="0"/>
    <s v="Raipur"/>
    <x v="0"/>
    <x v="35"/>
    <n v="9"/>
    <n v="312.52999999999997"/>
    <n v="0.35"/>
    <x v="113"/>
    <x v="113"/>
    <n v="48.28"/>
    <s v="Cash on Delivery"/>
    <n v="4"/>
    <b v="0"/>
    <x v="4"/>
    <n v="5"/>
    <m/>
    <s v="Old Age"/>
  </r>
  <r>
    <s v="ORD-04177"/>
    <d v="2024-12-21T00:00:00"/>
    <s v="CUST44560"/>
    <s v="Amit Verma"/>
    <n v="49"/>
    <x v="2"/>
    <x v="4"/>
    <s v="Bangalore"/>
    <x v="6"/>
    <x v="18"/>
    <n v="2"/>
    <n v="13057.02"/>
    <n v="0.35"/>
    <x v="114"/>
    <x v="114"/>
    <n v="69.31"/>
    <s v="Credit Card"/>
    <n v="5"/>
    <b v="0"/>
    <x v="1"/>
    <n v="10"/>
    <m/>
    <s v="Old Age"/>
  </r>
  <r>
    <s v="ORD-02805"/>
    <d v="2023-05-01T00:00:00"/>
    <s v="CUST85937"/>
    <s v="Deepa Verma"/>
    <n v="31"/>
    <x v="1"/>
    <x v="4"/>
    <s v="Hyderabad"/>
    <x v="4"/>
    <x v="6"/>
    <n v="7"/>
    <n v="3482.32"/>
    <n v="0.35"/>
    <x v="115"/>
    <x v="115"/>
    <n v="68.92"/>
    <s v="UPI"/>
    <n v="4"/>
    <b v="0"/>
    <x v="1"/>
    <n v="7"/>
    <m/>
    <s v="Mid Age"/>
  </r>
  <r>
    <s v="ORD-00918"/>
    <d v="2021-02-17T00:00:00"/>
    <s v="CUST67405"/>
    <s v="Meera Pillai"/>
    <n v="48"/>
    <x v="1"/>
    <x v="0"/>
    <s v="Indore"/>
    <x v="6"/>
    <x v="31"/>
    <n v="3"/>
    <n v="11359.59"/>
    <n v="0.01"/>
    <x v="116"/>
    <x v="116"/>
    <n v="41.65"/>
    <s v="Debit Card"/>
    <n v="1"/>
    <b v="0"/>
    <x v="1"/>
    <n v="8"/>
    <m/>
    <s v="Old Age"/>
  </r>
  <r>
    <s v="ORD-00759"/>
    <d v="2020-12-10T00:00:00"/>
    <s v="CUST23197"/>
    <s v="Amit Patel"/>
    <n v="28"/>
    <x v="0"/>
    <x v="0"/>
    <s v="Nagpur"/>
    <x v="6"/>
    <x v="27"/>
    <n v="5"/>
    <n v="5242.7700000000004"/>
    <n v="0.31"/>
    <x v="117"/>
    <x v="117"/>
    <n v="74.58"/>
    <s v="EMI"/>
    <n v="1"/>
    <b v="1"/>
    <x v="0"/>
    <n v="5"/>
    <m/>
    <s v="Mid Age"/>
  </r>
  <r>
    <s v="ORD-00086"/>
    <d v="2020-02-03T00:00:00"/>
    <s v="CUST63884"/>
    <s v="Amit Das"/>
    <n v="29"/>
    <x v="2"/>
    <x v="1"/>
    <s v="Ahmedabad"/>
    <x v="2"/>
    <x v="13"/>
    <n v="10"/>
    <n v="9468.07"/>
    <n v="0.32"/>
    <x v="118"/>
    <x v="118"/>
    <n v="40.98"/>
    <s v="EMI"/>
    <s v="N/A"/>
    <b v="0"/>
    <x v="1"/>
    <n v="2"/>
    <m/>
    <s v="Mid Age"/>
  </r>
  <r>
    <s v="ORD-00793"/>
    <d v="2020-12-28T00:00:00"/>
    <s v="CUST49838"/>
    <s v="Sunita Gupta"/>
    <n v="37"/>
    <x v="0"/>
    <x v="4"/>
    <s v="Bangalore"/>
    <x v="0"/>
    <x v="36"/>
    <n v="8"/>
    <n v="491.76"/>
    <n v="0.08"/>
    <x v="119"/>
    <x v="119"/>
    <n v="61.84"/>
    <s v="UPI"/>
    <n v="2"/>
    <b v="0"/>
    <x v="1"/>
    <n v="4"/>
    <m/>
    <s v="Mid Age"/>
  </r>
  <r>
    <s v="ORD-01894"/>
    <d v="2022-04-16T00:00:00"/>
    <s v="CUST28783"/>
    <s v="Rohan Shah"/>
    <n v="42"/>
    <x v="1"/>
    <x v="3"/>
    <s v="Bhubaneswar"/>
    <x v="1"/>
    <x v="37"/>
    <n v="7"/>
    <n v="2235.02"/>
    <n v="0.37"/>
    <x v="120"/>
    <x v="120"/>
    <n v="68.83"/>
    <s v="UPI"/>
    <n v="1"/>
    <b v="1"/>
    <x v="0"/>
    <n v="8"/>
    <m/>
    <s v="Old Age"/>
  </r>
  <r>
    <s v="ORD-04109"/>
    <d v="2024-11-20T00:00:00"/>
    <s v="CUST36614"/>
    <s v="Shreya Pillai"/>
    <n v="27"/>
    <x v="0"/>
    <x v="3"/>
    <s v="Guwahati"/>
    <x v="3"/>
    <x v="19"/>
    <n v="9"/>
    <n v="1324.57"/>
    <n v="0.38"/>
    <x v="121"/>
    <x v="121"/>
    <n v="82.14"/>
    <s v="UPI"/>
    <n v="4"/>
    <b v="0"/>
    <x v="1"/>
    <n v="4"/>
    <m/>
    <s v="Mid Age"/>
  </r>
  <r>
    <s v="ORD-02963"/>
    <d v="2023-07-07T00:00:00"/>
    <s v="CUST21979"/>
    <s v="Sanjay Singh"/>
    <n v="54"/>
    <x v="1"/>
    <x v="2"/>
    <s v="Chandigarh"/>
    <x v="6"/>
    <x v="22"/>
    <n v="1"/>
    <n v="9949.4699999999993"/>
    <n v="0.06"/>
    <x v="122"/>
    <x v="122"/>
    <n v="42.57"/>
    <s v="UPI"/>
    <s v="N/A"/>
    <b v="0"/>
    <x v="1"/>
    <n v="5"/>
    <m/>
    <s v="Old Age"/>
  </r>
  <r>
    <s v="ORD-02212"/>
    <d v="2022-08-23T00:00:00"/>
    <s v="CUST44717"/>
    <s v="Meera Chatterjee"/>
    <n v="34"/>
    <x v="1"/>
    <x v="3"/>
    <s v="Kolkata"/>
    <x v="5"/>
    <x v="17"/>
    <n v="6"/>
    <n v="45624.04"/>
    <n v="0.24"/>
    <x v="123"/>
    <x v="123"/>
    <n v="97.97"/>
    <s v="UPI"/>
    <n v="4"/>
    <b v="0"/>
    <x v="1"/>
    <n v="7"/>
    <m/>
    <s v="Mid Age"/>
  </r>
  <r>
    <s v="ORD-02836"/>
    <d v="2023-05-19T00:00:00"/>
    <s v="CUST76017"/>
    <s v="Arjun Chatterjee"/>
    <n v="37"/>
    <x v="2"/>
    <x v="0"/>
    <s v="Bhopal"/>
    <x v="2"/>
    <x v="24"/>
    <n v="10"/>
    <n v="7630.7"/>
    <n v="0.21"/>
    <x v="124"/>
    <x v="124"/>
    <n v="46.42"/>
    <s v="Cash on Delivery"/>
    <n v="5"/>
    <b v="0"/>
    <x v="3"/>
    <n v="8"/>
    <m/>
    <s v="Mid Age"/>
  </r>
  <r>
    <s v="ORD-00409"/>
    <d v="2020-06-27T00:00:00"/>
    <s v="CUST97162"/>
    <s v="Sanjay Mehta"/>
    <n v="46"/>
    <x v="2"/>
    <x v="3"/>
    <s v="Bhubaneswar"/>
    <x v="6"/>
    <x v="22"/>
    <n v="1"/>
    <n v="4889.3"/>
    <n v="0.16"/>
    <x v="125"/>
    <x v="125"/>
    <n v="63.96"/>
    <s v="Net Banking"/>
    <n v="1"/>
    <b v="0"/>
    <x v="1"/>
    <n v="6"/>
    <m/>
    <s v="Old Age"/>
  </r>
  <r>
    <s v="ORD-00528"/>
    <d v="2020-08-21T00:00:00"/>
    <s v="CUST94563"/>
    <s v="Amit Das"/>
    <n v="56"/>
    <x v="1"/>
    <x v="3"/>
    <s v="Bhubaneswar"/>
    <x v="4"/>
    <x v="14"/>
    <n v="5"/>
    <n v="2614.79"/>
    <n v="0.12"/>
    <x v="126"/>
    <x v="126"/>
    <n v="55.45"/>
    <s v="Credit Card"/>
    <n v="4"/>
    <b v="1"/>
    <x v="0"/>
    <n v="9"/>
    <m/>
    <s v="Old Age"/>
  </r>
  <r>
    <s v="ORD-00268"/>
    <d v="2020-04-27T00:00:00"/>
    <s v="CUST64785"/>
    <s v="Sunita Reddy"/>
    <n v="32"/>
    <x v="2"/>
    <x v="1"/>
    <s v="Mumbai"/>
    <x v="3"/>
    <x v="11"/>
    <n v="7"/>
    <n v="257.18"/>
    <n v="0.28999999999999998"/>
    <x v="127"/>
    <x v="127"/>
    <n v="60.36"/>
    <s v="Credit Card"/>
    <n v="1"/>
    <b v="0"/>
    <x v="3"/>
    <n v="5"/>
    <m/>
    <s v="Mid Age"/>
  </r>
  <r>
    <s v="ORD-02778"/>
    <d v="2023-04-17T00:00:00"/>
    <s v="CUST21931"/>
    <s v="Kavya Mehta"/>
    <s v="N/A"/>
    <x v="2"/>
    <x v="1"/>
    <s v="Surat"/>
    <x v="3"/>
    <x v="32"/>
    <n v="8"/>
    <n v="337.73"/>
    <n v="0.38"/>
    <x v="128"/>
    <x v="128"/>
    <n v="48.99"/>
    <s v="Cash on Delivery"/>
    <n v="5"/>
    <b v="1"/>
    <x v="0"/>
    <n v="6"/>
    <m/>
    <s v="Old Age"/>
  </r>
  <r>
    <s v="ORD-00948"/>
    <d v="2021-03-05T00:00:00"/>
    <s v="CUST85939"/>
    <s v="Nikhil Patel"/>
    <n v="47"/>
    <x v="2"/>
    <x v="2"/>
    <s v="Amritsar"/>
    <x v="2"/>
    <x v="13"/>
    <n v="6"/>
    <n v="29194.28"/>
    <n v="0.36"/>
    <x v="129"/>
    <x v="129"/>
    <n v="64.14"/>
    <s v="Credit Card"/>
    <n v="3"/>
    <b v="0"/>
    <x v="1"/>
    <n v="9"/>
    <m/>
    <s v="Old Age"/>
  </r>
  <r>
    <s v="ORD-03678"/>
    <d v="2024-05-16T00:00:00"/>
    <s v="CUST45890"/>
    <s v="Ritu Patel"/>
    <n v="16"/>
    <x v="1"/>
    <x v="1"/>
    <s v="Mumbai"/>
    <x v="5"/>
    <x v="25"/>
    <n v="4"/>
    <n v="20489.54"/>
    <n v="0.01"/>
    <x v="130"/>
    <x v="130"/>
    <n v="73.53"/>
    <s v="Cash on Delivery"/>
    <n v="1"/>
    <b v="0"/>
    <x v="2"/>
    <n v="4"/>
    <m/>
    <s v="Young Age"/>
  </r>
  <r>
    <s v="ORD-01310"/>
    <d v="2021-08-11T00:00:00"/>
    <s v="CUST84751"/>
    <s v="Vikram Kumar"/>
    <n v="14"/>
    <x v="1"/>
    <x v="4"/>
    <s v="Kochi"/>
    <x v="6"/>
    <x v="38"/>
    <n v="2"/>
    <n v="11904.59"/>
    <n v="0.18"/>
    <x v="131"/>
    <x v="131"/>
    <n v="66.45"/>
    <s v="EMI"/>
    <n v="5"/>
    <b v="0"/>
    <x v="1"/>
    <n v="2"/>
    <m/>
    <s v="Young Age"/>
  </r>
  <r>
    <s v="ORD-00672"/>
    <d v="2020-10-31T00:00:00"/>
    <s v="CUST71562"/>
    <s v="Rahul Bhat"/>
    <n v="35"/>
    <x v="2"/>
    <x v="1"/>
    <s v="Ahmedabad"/>
    <x v="5"/>
    <x v="25"/>
    <n v="5"/>
    <n v="49817.06"/>
    <n v="0.28000000000000003"/>
    <x v="132"/>
    <x v="132"/>
    <n v="42.95"/>
    <s v="UPI"/>
    <s v="N/A"/>
    <b v="0"/>
    <x v="2"/>
    <n v="3"/>
    <m/>
    <s v="Mid Age"/>
  </r>
  <r>
    <s v="ORD-04060"/>
    <d v="2024-10-26T00:00:00"/>
    <s v="CUST99521"/>
    <s v="Kavya Pillai"/>
    <n v="42"/>
    <x v="0"/>
    <x v="1"/>
    <s v="Ahmedabad"/>
    <x v="2"/>
    <x v="2"/>
    <n v="4"/>
    <n v="10887.68"/>
    <n v="0.14000000000000001"/>
    <x v="133"/>
    <x v="133"/>
    <n v="57.18"/>
    <s v="EMI"/>
    <n v="3"/>
    <b v="0"/>
    <x v="1"/>
    <n v="6"/>
    <m/>
    <s v="Old Age"/>
  </r>
  <r>
    <s v="ORD-01996"/>
    <d v="2022-06-01T00:00:00"/>
    <s v="CUST48253"/>
    <s v="Meera Kumar"/>
    <n v="36"/>
    <x v="1"/>
    <x v="2"/>
    <s v="Chandigarh"/>
    <x v="4"/>
    <x v="6"/>
    <n v="5"/>
    <n v="451.03"/>
    <n v="0.19"/>
    <x v="134"/>
    <x v="134"/>
    <n v="23.32"/>
    <s v="Net Banking"/>
    <n v="5"/>
    <b v="0"/>
    <x v="1"/>
    <n v="10"/>
    <m/>
    <s v="Mid Age"/>
  </r>
  <r>
    <s v="ORD-01584"/>
    <d v="2021-12-09T00:00:00"/>
    <s v="CUST51398"/>
    <s v="Karan Bose"/>
    <n v="36"/>
    <x v="2"/>
    <x v="2"/>
    <s v="Delhi"/>
    <x v="3"/>
    <x v="5"/>
    <n v="3"/>
    <n v="586.88"/>
    <n v="0.33"/>
    <x v="135"/>
    <x v="135"/>
    <n v="36.450000000000003"/>
    <s v="EMI"/>
    <n v="4"/>
    <b v="0"/>
    <x v="1"/>
    <n v="1"/>
    <m/>
    <s v="Mid Age"/>
  </r>
  <r>
    <s v="ORD-01026"/>
    <d v="2021-04-09T00:00:00"/>
    <s v="CUST78889"/>
    <s v="Nikhil Joshi"/>
    <n v="24"/>
    <x v="0"/>
    <x v="4"/>
    <s v="Chennai"/>
    <x v="6"/>
    <x v="20"/>
    <n v="10"/>
    <n v="6806.6"/>
    <n v="0.36"/>
    <x v="136"/>
    <x v="136"/>
    <n v="66.290000000000006"/>
    <s v="Credit Card"/>
    <n v="5"/>
    <b v="0"/>
    <x v="1"/>
    <n v="7"/>
    <m/>
    <s v="Young Age"/>
  </r>
  <r>
    <s v="ORD-03309"/>
    <d v="2023-12-01T00:00:00"/>
    <s v="CUST44030"/>
    <s v="Aditya Iyer"/>
    <s v="N/A"/>
    <x v="1"/>
    <x v="1"/>
    <s v="Mumbai"/>
    <x v="4"/>
    <x v="26"/>
    <n v="3"/>
    <n v="3608.42"/>
    <n v="0.28999999999999998"/>
    <x v="137"/>
    <x v="137"/>
    <n v="54.98"/>
    <s v="Cash on Delivery"/>
    <n v="5"/>
    <b v="0"/>
    <x v="1"/>
    <n v="9"/>
    <m/>
    <s v="Old Age"/>
  </r>
  <r>
    <s v="ORD-01973"/>
    <d v="2022-05-22T00:00:00"/>
    <s v="CUST45923"/>
    <s v="Ananya Rao"/>
    <n v="22"/>
    <x v="1"/>
    <x v="1"/>
    <s v="Ahmedabad"/>
    <x v="5"/>
    <x v="17"/>
    <n v="2"/>
    <n v="72469.02"/>
    <n v="0.38"/>
    <x v="138"/>
    <x v="138"/>
    <n v="49.21"/>
    <s v="Net Banking"/>
    <n v="4"/>
    <b v="0"/>
    <x v="3"/>
    <n v="1"/>
    <m/>
    <s v="Young Age"/>
  </r>
  <r>
    <s v="ORD-03390"/>
    <d v="2024-01-06T00:00:00"/>
    <s v="CUST51656"/>
    <s v="Kavya Singh"/>
    <n v="20"/>
    <x v="0"/>
    <x v="1"/>
    <s v="Pune"/>
    <x v="5"/>
    <x v="21"/>
    <n v="3"/>
    <n v="42514.99"/>
    <n v="0.06"/>
    <x v="139"/>
    <x v="139"/>
    <n v="59.07"/>
    <s v="EMI"/>
    <n v="5"/>
    <b v="0"/>
    <x v="3"/>
    <n v="5"/>
    <m/>
    <s v="Young Age"/>
  </r>
  <r>
    <s v="ORD-00540"/>
    <d v="2020-08-26T00:00:00"/>
    <s v="CUST59198"/>
    <s v="Priya Das"/>
    <n v="29"/>
    <x v="0"/>
    <x v="3"/>
    <s v="Patna"/>
    <x v="1"/>
    <x v="29"/>
    <m/>
    <n v="1644.33"/>
    <n v="0.31"/>
    <x v="140"/>
    <x v="140"/>
    <n v="68.12"/>
    <s v="Cash on Delivery"/>
    <n v="5"/>
    <b v="1"/>
    <x v="0"/>
    <n v="2"/>
    <m/>
    <s v="Mid Age"/>
  </r>
  <r>
    <s v="ORD-01905"/>
    <d v="2022-04-21T00:00:00"/>
    <s v="CUST28422"/>
    <s v="Ananya Nair"/>
    <n v="35"/>
    <x v="2"/>
    <x v="1"/>
    <s v="Pune"/>
    <x v="3"/>
    <x v="11"/>
    <n v="5"/>
    <n v="540.77"/>
    <n v="0.28000000000000003"/>
    <x v="141"/>
    <x v="141"/>
    <n v="54.23"/>
    <s v="EMI"/>
    <n v="5"/>
    <b v="0"/>
    <x v="1"/>
    <n v="7"/>
    <m/>
    <s v="Mid Age"/>
  </r>
  <r>
    <s v="ORD-00422"/>
    <d v="2020-07-06T00:00:00"/>
    <s v="CUST44523"/>
    <s v="Priya Sharma"/>
    <n v="35"/>
    <x v="0"/>
    <x v="4"/>
    <s v="Bangalore"/>
    <x v="4"/>
    <x v="16"/>
    <n v="2"/>
    <n v="539.35"/>
    <n v="0.23"/>
    <x v="142"/>
    <x v="142"/>
    <n v="64.959999999999994"/>
    <s v="Cash on Delivery"/>
    <n v="5"/>
    <b v="0"/>
    <x v="1"/>
    <n v="8"/>
    <m/>
    <s v="Mid Age"/>
  </r>
  <r>
    <s v="ORD-03365"/>
    <d v="2023-12-29T00:00:00"/>
    <s v="CUST03410"/>
    <s v="Sunita Das"/>
    <s v="N/A"/>
    <x v="2"/>
    <x v="3"/>
    <s v="Patna"/>
    <x v="5"/>
    <x v="39"/>
    <n v="9"/>
    <n v="30674.09"/>
    <n v="0.39"/>
    <x v="143"/>
    <x v="143"/>
    <n v="76.430000000000007"/>
    <s v="Cash on Delivery"/>
    <s v="N/A"/>
    <b v="0"/>
    <x v="1"/>
    <n v="2"/>
    <m/>
    <s v="Old Age"/>
  </r>
  <r>
    <s v="ORD-02069"/>
    <d v="2022-07-02T00:00:00"/>
    <s v="CUST03769"/>
    <s v="Sunita Mishra"/>
    <n v="32"/>
    <x v="2"/>
    <x v="4"/>
    <s v="Kochi"/>
    <x v="4"/>
    <x v="6"/>
    <n v="8"/>
    <n v="3278.48"/>
    <n v="0"/>
    <x v="144"/>
    <x v="144"/>
    <n v="80.959999999999994"/>
    <s v="Credit Card"/>
    <n v="3"/>
    <b v="0"/>
    <x v="1"/>
    <n v="1"/>
    <m/>
    <s v="Mid Age"/>
  </r>
  <r>
    <s v="ORD-02723"/>
    <d v="2023-03-27T00:00:00"/>
    <s v="CUST08867"/>
    <s v="Nisha Kapoor"/>
    <n v="12"/>
    <x v="0"/>
    <x v="0"/>
    <s v="Raipur"/>
    <x v="5"/>
    <x v="15"/>
    <n v="2"/>
    <n v="69342.570000000007"/>
    <n v="0.08"/>
    <x v="145"/>
    <x v="145"/>
    <n v="47.74"/>
    <s v="Net Banking"/>
    <n v="2"/>
    <b v="0"/>
    <x v="1"/>
    <n v="6"/>
    <m/>
    <s v="Young Age"/>
  </r>
  <r>
    <s v="ORD-00073"/>
    <d v="2020-01-28T00:00:00"/>
    <s v="CUST44662"/>
    <s v="Ananya Nair"/>
    <n v="999"/>
    <x v="1"/>
    <x v="2"/>
    <s v="Delhi"/>
    <x v="6"/>
    <x v="18"/>
    <n v="4"/>
    <n v="12945.28"/>
    <n v="0.13"/>
    <x v="146"/>
    <x v="146"/>
    <n v="65.38"/>
    <s v="Credit Card"/>
    <n v="5"/>
    <b v="0"/>
    <x v="1"/>
    <n v="4"/>
    <m/>
    <s v="Old Age"/>
  </r>
  <r>
    <s v="ORD-02497"/>
    <d v="2022-12-19T00:00:00"/>
    <s v="CUST57740"/>
    <s v="Sunita Verma"/>
    <n v="19"/>
    <x v="1"/>
    <x v="3"/>
    <s v="Kolkata"/>
    <x v="2"/>
    <x v="24"/>
    <n v="5"/>
    <n v="29767.34"/>
    <n v="0.16"/>
    <x v="147"/>
    <x v="147"/>
    <n v="72.23"/>
    <s v="Cash on Delivery"/>
    <n v="3"/>
    <b v="0"/>
    <x v="3"/>
    <n v="6"/>
    <m/>
    <s v="Young Age"/>
  </r>
  <r>
    <s v="ORD-03163"/>
    <d v="2023-10-01T00:00:00"/>
    <s v="CUST87976"/>
    <s v="Amit Singh"/>
    <n v="29"/>
    <x v="1"/>
    <x v="2"/>
    <s v="Chandigarh"/>
    <x v="6"/>
    <x v="22"/>
    <n v="3"/>
    <n v="14810.59"/>
    <n v="0.08"/>
    <x v="148"/>
    <x v="148"/>
    <n v="65.69"/>
    <s v="Cash on Delivery"/>
    <n v="3"/>
    <b v="0"/>
    <x v="1"/>
    <n v="5"/>
    <m/>
    <s v="Mid Age"/>
  </r>
  <r>
    <s v="ORD-03997"/>
    <d v="2024-09-22T00:00:00"/>
    <s v="CUST57164"/>
    <s v="Karan Reddy"/>
    <n v="36"/>
    <x v="1"/>
    <x v="3"/>
    <s v="Bhubaneswar"/>
    <x v="1"/>
    <x v="1"/>
    <n v="4"/>
    <n v="2333.1"/>
    <n v="0.22"/>
    <x v="149"/>
    <x v="149"/>
    <n v="72.08"/>
    <s v="UPI"/>
    <n v="3"/>
    <b v="1"/>
    <x v="0"/>
    <n v="10"/>
    <m/>
    <s v="Mid Age"/>
  </r>
  <r>
    <s v="ORD-02268"/>
    <d v="2022-09-14T00:00:00"/>
    <s v="CUST89600"/>
    <s v="Aarav Joshi"/>
    <n v="51"/>
    <x v="1"/>
    <x v="4"/>
    <s v="Chennai"/>
    <x v="6"/>
    <x v="20"/>
    <n v="2"/>
    <n v="13833.36"/>
    <n v="0.06"/>
    <x v="150"/>
    <x v="150"/>
    <n v="40.57"/>
    <s v="Net Banking"/>
    <s v="N/A"/>
    <b v="0"/>
    <x v="1"/>
    <n v="8"/>
    <m/>
    <s v="Old Age"/>
  </r>
  <r>
    <s v="ORD-01535"/>
    <d v="2021-11-19T00:00:00"/>
    <s v="CUST92130"/>
    <s v="Sunita Shah"/>
    <s v="N/A"/>
    <x v="0"/>
    <x v="0"/>
    <s v="Nagpur"/>
    <x v="2"/>
    <x v="13"/>
    <n v="5"/>
    <n v="9804.75"/>
    <n v="0.09"/>
    <x v="151"/>
    <x v="151"/>
    <n v="70.12"/>
    <s v="UPI"/>
    <n v="1"/>
    <b v="0"/>
    <x v="1"/>
    <n v="5"/>
    <m/>
    <s v="Old Age"/>
  </r>
  <r>
    <s v="ORD-02522"/>
    <d v="2022-12-31T00:00:00"/>
    <s v="CUST79852"/>
    <s v="Nisha Kapoor"/>
    <n v="26"/>
    <x v="1"/>
    <x v="1"/>
    <s v="Pune"/>
    <x v="3"/>
    <x v="32"/>
    <n v="3"/>
    <n v="1379.58"/>
    <n v="0.06"/>
    <x v="152"/>
    <x v="152"/>
    <n v="64.67"/>
    <s v="Net Banking"/>
    <n v="4"/>
    <b v="0"/>
    <x v="4"/>
    <n v="4"/>
    <m/>
    <s v="Mid Age"/>
  </r>
  <r>
    <s v="ORD-02356"/>
    <d v="2022-10-16T00:00:00"/>
    <s v="CUST40158"/>
    <s v="Kavya Pillai"/>
    <n v="36"/>
    <x v="1"/>
    <x v="4"/>
    <s v="Chennai"/>
    <x v="2"/>
    <x v="13"/>
    <n v="8"/>
    <n v="33543.43"/>
    <n v="0.22"/>
    <x v="153"/>
    <x v="153"/>
    <n v="56.8"/>
    <s v="EMI"/>
    <n v="2"/>
    <b v="0"/>
    <x v="1"/>
    <n v="8"/>
    <m/>
    <s v="Mid Age"/>
  </r>
  <r>
    <s v="ORD-03607"/>
    <d v="2024-04-19T00:00:00"/>
    <s v="CUST69333"/>
    <s v="Pooja Iyer"/>
    <n v="31"/>
    <x v="2"/>
    <x v="4"/>
    <s v="Bangalore"/>
    <x v="1"/>
    <x v="37"/>
    <n v="6"/>
    <n v="1423.12"/>
    <n v="0.11"/>
    <x v="154"/>
    <x v="154"/>
    <n v="75.2"/>
    <s v="Cash on Delivery"/>
    <n v="4"/>
    <b v="1"/>
    <x v="0"/>
    <n v="4"/>
    <m/>
    <s v="Mid Age"/>
  </r>
  <r>
    <s v="ORD-01868"/>
    <d v="2022-04-04T00:00:00"/>
    <s v="CUST05359"/>
    <s v="Aditya Mehta"/>
    <n v="26"/>
    <x v="2"/>
    <x v="3"/>
    <s v="Kolkata"/>
    <x v="5"/>
    <x v="25"/>
    <n v="8"/>
    <n v="64439.74"/>
    <n v="0.23"/>
    <x v="155"/>
    <x v="155"/>
    <n v="103.41"/>
    <s v="Debit Card"/>
    <n v="1"/>
    <b v="0"/>
    <x v="1"/>
    <n v="3"/>
    <m/>
    <s v="Mid Age"/>
  </r>
  <r>
    <s v="ORD-00888"/>
    <d v="2021-02-04T00:00:00"/>
    <s v="CUST27547"/>
    <s v="Shreya Gupta"/>
    <n v="49"/>
    <x v="1"/>
    <x v="4"/>
    <s v="Chennai"/>
    <x v="5"/>
    <x v="33"/>
    <n v="10"/>
    <n v="72812.39"/>
    <n v="0.28999999999999998"/>
    <x v="156"/>
    <x v="156"/>
    <n v="76.77"/>
    <s v="Net Banking"/>
    <n v="2"/>
    <b v="1"/>
    <x v="0"/>
    <n v="10"/>
    <m/>
    <s v="Old Age"/>
  </r>
  <r>
    <s v="ORD-01208"/>
    <d v="2021-06-29T00:00:00"/>
    <s v="CUST72453"/>
    <s v="Arjun Joshi"/>
    <n v="31"/>
    <x v="1"/>
    <x v="4"/>
    <s v="Hyderabad"/>
    <x v="2"/>
    <x v="13"/>
    <n v="6"/>
    <n v="3208.32"/>
    <n v="0.25"/>
    <x v="157"/>
    <x v="157"/>
    <n v="81.25"/>
    <s v="UPI"/>
    <n v="4"/>
    <b v="0"/>
    <x v="2"/>
    <n v="0"/>
    <m/>
    <s v="Mid Age"/>
  </r>
  <r>
    <s v="ORD-02771"/>
    <d v="2023-04-14T00:00:00"/>
    <s v="CUST00213"/>
    <s v="Ritu Reddy"/>
    <n v="47"/>
    <x v="1"/>
    <x v="3"/>
    <s v="Kolkata"/>
    <x v="1"/>
    <x v="1"/>
    <n v="8"/>
    <n v="415.72"/>
    <n v="0.01"/>
    <x v="158"/>
    <x v="158"/>
    <n v="54.55"/>
    <s v="EMI"/>
    <n v="3"/>
    <b v="0"/>
    <x v="1"/>
    <n v="5"/>
    <m/>
    <s v="Old Age"/>
  </r>
  <r>
    <s v="ORD-00591"/>
    <d v="2020-09-21T00:00:00"/>
    <s v="CUST49777"/>
    <s v="Pooja Shah"/>
    <n v="33"/>
    <x v="2"/>
    <x v="4"/>
    <s v="Hyderabad"/>
    <x v="0"/>
    <x v="35"/>
    <n v="1"/>
    <n v="389.24"/>
    <n v="0.23"/>
    <x v="159"/>
    <x v="159"/>
    <n v="66.8"/>
    <s v="Net Banking"/>
    <n v="5"/>
    <b v="0"/>
    <x v="1"/>
    <n v="10"/>
    <m/>
    <s v="Mid Age"/>
  </r>
  <r>
    <s v="ORD-03777"/>
    <d v="2024-07-01T00:00:00"/>
    <s v="CUST77207"/>
    <s v="Sanjay Joshi"/>
    <n v="25"/>
    <x v="2"/>
    <x v="2"/>
    <s v="Ludhiana"/>
    <x v="3"/>
    <x v="5"/>
    <m/>
    <n v="1486.09"/>
    <n v="0.11"/>
    <x v="160"/>
    <x v="160"/>
    <n v="43.92"/>
    <s v="Cash on Delivery"/>
    <n v="1"/>
    <b v="0"/>
    <x v="1"/>
    <n v="1"/>
    <m/>
    <s v="Young Age"/>
  </r>
  <r>
    <s v="ORD-03456"/>
    <d v="2024-02-08T00:00:00"/>
    <s v="CUST58295"/>
    <s v="Sunita Iyer"/>
    <n v="38"/>
    <x v="1"/>
    <x v="3"/>
    <s v="Kolkata"/>
    <x v="5"/>
    <x v="33"/>
    <n v="4"/>
    <n v="15346.11"/>
    <n v="0.06"/>
    <x v="161"/>
    <x v="161"/>
    <n v="93.55"/>
    <s v="Cash on Delivery"/>
    <n v="2"/>
    <b v="0"/>
    <x v="1"/>
    <n v="6"/>
    <m/>
    <s v="Mid Age"/>
  </r>
  <r>
    <s v="ORD-03788"/>
    <d v="2024-07-04T00:00:00"/>
    <s v="CUST59409"/>
    <s v="Sanjay Rao"/>
    <n v="49"/>
    <x v="1"/>
    <x v="0"/>
    <s v="Raipur"/>
    <x v="3"/>
    <x v="40"/>
    <n v="8"/>
    <n v="1499.77"/>
    <n v="0.37"/>
    <x v="162"/>
    <x v="162"/>
    <n v="68.319999999999993"/>
    <s v="UPI"/>
    <n v="5"/>
    <b v="0"/>
    <x v="1"/>
    <s v="N/A"/>
    <m/>
    <s v="Old Age"/>
  </r>
  <r>
    <s v="ORD-01031"/>
    <d v="2021-04-11T00:00:00"/>
    <s v="CUST25835"/>
    <s v="Pooja Shah"/>
    <n v="26"/>
    <x v="1"/>
    <x v="4"/>
    <s v="Bangalore"/>
    <x v="3"/>
    <x v="30"/>
    <n v="9"/>
    <n v="816.35"/>
    <n v="0.12"/>
    <x v="163"/>
    <x v="163"/>
    <n v="81.14"/>
    <s v="UPI"/>
    <n v="5"/>
    <b v="1"/>
    <x v="0"/>
    <n v="3"/>
    <m/>
    <s v="Mid Age"/>
  </r>
  <r>
    <s v="ORD-03205"/>
    <s v="18/10/2023"/>
    <s v="CUST12676"/>
    <s v="Meera Iyer"/>
    <n v="40"/>
    <x v="1"/>
    <x v="3"/>
    <s v="Bhubaneswar"/>
    <x v="6"/>
    <x v="18"/>
    <n v="7"/>
    <n v="12597.24"/>
    <n v="0.11"/>
    <x v="164"/>
    <x v="164"/>
    <n v="79.69"/>
    <s v="Net Banking"/>
    <n v="4"/>
    <b v="0"/>
    <x v="1"/>
    <n v="8"/>
    <m/>
    <s v="Mid Age"/>
  </r>
  <r>
    <s v="ORD-03330"/>
    <d v="2023-11-12T00:00:00"/>
    <s v="CUST18271"/>
    <s v="Pooja Chatterjee"/>
    <s v="N/A"/>
    <x v="1"/>
    <x v="1"/>
    <s v="Pune"/>
    <x v="4"/>
    <x v="26"/>
    <n v="3"/>
    <n v="1850.1"/>
    <n v="0.03"/>
    <x v="165"/>
    <x v="165"/>
    <n v="78.13"/>
    <s v="EMI"/>
    <n v="2"/>
    <b v="0"/>
    <x v="1"/>
    <n v="10"/>
    <m/>
    <s v="Old Age"/>
  </r>
  <r>
    <s v="ORD-03149"/>
    <d v="2023-09-27T00:00:00"/>
    <s v="CUST52921"/>
    <s v="Vikram Nair"/>
    <n v="18"/>
    <x v="2"/>
    <x v="3"/>
    <s v="Patna"/>
    <x v="4"/>
    <x v="14"/>
    <n v="10"/>
    <n v="2309.23"/>
    <n v="0.02"/>
    <x v="166"/>
    <x v="166"/>
    <n v="94.75"/>
    <s v="Cash on Delivery"/>
    <s v="N/A"/>
    <b v="0"/>
    <x v="1"/>
    <n v="5"/>
    <m/>
    <s v="Young Age"/>
  </r>
  <r>
    <s v="ORD-00490"/>
    <d v="2020-08-04T00:00:00"/>
    <s v="CUST00642"/>
    <s v="Kavya Das"/>
    <n v="40"/>
    <x v="1"/>
    <x v="4"/>
    <s v="Chennai"/>
    <x v="2"/>
    <x v="8"/>
    <n v="5"/>
    <n v="12250.19"/>
    <n v="0.32"/>
    <x v="167"/>
    <x v="167"/>
    <n v="71.75"/>
    <s v="EMI"/>
    <n v="3"/>
    <b v="0"/>
    <x v="1"/>
    <n v="6"/>
    <m/>
    <s v="Mid Age"/>
  </r>
  <r>
    <s v="ORD-00653"/>
    <d v="2020-10-20T00:00:00"/>
    <s v="CUST35559"/>
    <s v="Ritu Nair"/>
    <n v="22"/>
    <x v="2"/>
    <x v="0"/>
    <s v="Nagpur"/>
    <x v="3"/>
    <x v="32"/>
    <n v="3"/>
    <n v="835.42"/>
    <n v="0.33"/>
    <x v="168"/>
    <x v="168"/>
    <n v="55.32"/>
    <s v="Cash on Delivery"/>
    <n v="5"/>
    <b v="0"/>
    <x v="1"/>
    <n v="1"/>
    <m/>
    <s v="Young Age"/>
  </r>
  <r>
    <s v="ORD-01457"/>
    <d v="2021-10-22T00:00:00"/>
    <s v="CUST96946"/>
    <s v="Sunita Sharma"/>
    <n v="53"/>
    <x v="0"/>
    <x v="4"/>
    <s v="Chennai"/>
    <x v="5"/>
    <x v="17"/>
    <n v="9"/>
    <n v="62284.37"/>
    <n v="0.36"/>
    <x v="169"/>
    <x v="169"/>
    <n v="81.150000000000006"/>
    <s v="Credit Card"/>
    <n v="3"/>
    <b v="0"/>
    <x v="1"/>
    <n v="8"/>
    <m/>
    <s v="Old Age"/>
  </r>
  <r>
    <s v="ORD-03779"/>
    <d v="2024-07-02T00:00:00"/>
    <s v="CUST68889"/>
    <s v="Vikram Chatterjee"/>
    <n v="56"/>
    <x v="0"/>
    <x v="2"/>
    <s v="Ludhiana"/>
    <x v="3"/>
    <x v="30"/>
    <n v="2"/>
    <n v="493.07"/>
    <n v="0.4"/>
    <x v="170"/>
    <x v="170"/>
    <n v="79.959999999999994"/>
    <s v="Net Banking"/>
    <n v="5"/>
    <b v="0"/>
    <x v="1"/>
    <n v="5"/>
    <m/>
    <s v="Old Age"/>
  </r>
  <r>
    <s v="ORD-01596"/>
    <d v="2021-12-14T00:00:00"/>
    <s v="CUST72370"/>
    <s v="Priya Verma"/>
    <n v="34"/>
    <x v="0"/>
    <x v="2"/>
    <s v="Delhi"/>
    <x v="6"/>
    <x v="18"/>
    <n v="2"/>
    <n v="4486.05"/>
    <n v="0"/>
    <x v="171"/>
    <x v="171"/>
    <n v="70.400000000000006"/>
    <s v="UPI"/>
    <n v="4"/>
    <b v="0"/>
    <x v="1"/>
    <s v="N/A"/>
    <m/>
    <s v="Mid Age"/>
  </r>
  <r>
    <s v="ORD-00928"/>
    <d v="2021-02-23T00:00:00"/>
    <s v="CUST88225"/>
    <s v="Pooja Mishra"/>
    <n v="37"/>
    <x v="2"/>
    <x v="4"/>
    <s v="Hyderabad"/>
    <x v="4"/>
    <x v="14"/>
    <n v="2"/>
    <n v="2323.11"/>
    <n v="0.1"/>
    <x v="172"/>
    <x v="172"/>
    <n v="85.32"/>
    <s v="Net Banking"/>
    <n v="2"/>
    <b v="0"/>
    <x v="1"/>
    <n v="7"/>
    <m/>
    <s v="Mid Age"/>
  </r>
  <r>
    <s v="ORD-00710"/>
    <d v="2020-11-19T00:00:00"/>
    <s v="CUST57843"/>
    <s v="Meera Nair"/>
    <n v="51"/>
    <x v="2"/>
    <x v="3"/>
    <s v="Bhubaneswar"/>
    <x v="3"/>
    <x v="30"/>
    <n v="10"/>
    <n v="331.1"/>
    <n v="0.39"/>
    <x v="173"/>
    <x v="173"/>
    <n v="84.94"/>
    <s v="Cash on Delivery"/>
    <n v="5"/>
    <b v="0"/>
    <x v="1"/>
    <n v="7"/>
    <m/>
    <s v="Old Age"/>
  </r>
  <r>
    <s v="ORD-03999"/>
    <d v="2024-09-23T00:00:00"/>
    <s v="CUST81465"/>
    <s v="Rohan Pillai"/>
    <n v="38"/>
    <x v="1"/>
    <x v="0"/>
    <s v="Indore"/>
    <x v="0"/>
    <x v="36"/>
    <n v="5"/>
    <n v="195.29"/>
    <n v="0.16"/>
    <x v="174"/>
    <x v="174"/>
    <n v="32.28"/>
    <s v="Credit Card"/>
    <n v="3"/>
    <b v="0"/>
    <x v="3"/>
    <n v="5"/>
    <m/>
    <s v="Mid Age"/>
  </r>
  <r>
    <s v="ORD-01536"/>
    <d v="2021-11-20T00:00:00"/>
    <s v="CUST55972"/>
    <s v="Rohan Kumar"/>
    <n v="47"/>
    <x v="1"/>
    <x v="1"/>
    <s v="Surat"/>
    <x v="4"/>
    <x v="7"/>
    <n v="10"/>
    <n v="1224.47"/>
    <n v="0.4"/>
    <x v="175"/>
    <x v="175"/>
    <n v="52.99"/>
    <s v="Debit Card"/>
    <n v="1"/>
    <b v="0"/>
    <x v="1"/>
    <n v="6"/>
    <m/>
    <s v="Old Age"/>
  </r>
  <r>
    <s v="ORD-03376"/>
    <d v="2023-12-31T00:00:00"/>
    <s v="CUST86469"/>
    <s v="Aarav Mehta"/>
    <n v="43"/>
    <x v="0"/>
    <x v="4"/>
    <s v="Hyderabad"/>
    <x v="1"/>
    <x v="10"/>
    <n v="7"/>
    <n v="1828.2"/>
    <n v="0.21"/>
    <x v="176"/>
    <x v="176"/>
    <n v="72.63"/>
    <s v="Credit Card"/>
    <n v="4"/>
    <b v="0"/>
    <x v="1"/>
    <n v="1"/>
    <m/>
    <s v="Old Age"/>
  </r>
  <r>
    <s v="ORD-00542"/>
    <d v="2020-08-29T00:00:00"/>
    <s v="CUST19508"/>
    <s v="Arjun Rao"/>
    <n v="28"/>
    <x v="1"/>
    <x v="1"/>
    <s v="Pune"/>
    <x v="5"/>
    <x v="33"/>
    <n v="0"/>
    <n v="9189.44"/>
    <n v="0.19"/>
    <x v="177"/>
    <x v="177"/>
    <n v="59.91"/>
    <s v="Debit Card"/>
    <n v="4"/>
    <b v="0"/>
    <x v="1"/>
    <n v="5"/>
    <m/>
    <s v="Mid Age"/>
  </r>
  <r>
    <s v="ORD-00273"/>
    <d v="2020-05-01T00:00:00"/>
    <s v="CUST92554"/>
    <s v="Nisha Joshi"/>
    <n v="34"/>
    <x v="0"/>
    <x v="1"/>
    <s v="Pune"/>
    <x v="5"/>
    <x v="21"/>
    <n v="8"/>
    <n v="74156.479999999996"/>
    <n v="0.02"/>
    <x v="178"/>
    <x v="178"/>
    <n v="75.8"/>
    <s v="Credit Card"/>
    <n v="5"/>
    <b v="0"/>
    <x v="1"/>
    <n v="2"/>
    <m/>
    <s v="Mid Age"/>
  </r>
  <r>
    <s v="ORD-03823"/>
    <d v="2024-07-21T00:00:00"/>
    <s v="CUST65889"/>
    <s v="Priya Verma"/>
    <n v="52"/>
    <x v="2"/>
    <x v="0"/>
    <s v="Indore"/>
    <x v="0"/>
    <x v="0"/>
    <n v="6"/>
    <n v="462.8"/>
    <n v="0.2"/>
    <x v="179"/>
    <x v="179"/>
    <n v="81.010000000000005"/>
    <s v="Cash on Delivery"/>
    <n v="4"/>
    <b v="0"/>
    <x v="1"/>
    <n v="7"/>
    <m/>
    <s v="Old Age"/>
  </r>
  <r>
    <s v="ORD-02004"/>
    <d v="2022-06-03T00:00:00"/>
    <s v="CUST71669"/>
    <s v="Nikhil Singh"/>
    <n v="17"/>
    <x v="0"/>
    <x v="1"/>
    <s v="Mumbai"/>
    <x v="3"/>
    <x v="5"/>
    <n v="4"/>
    <n v="664.43"/>
    <n v="0.18"/>
    <x v="180"/>
    <x v="180"/>
    <n v="89.26"/>
    <s v="Net Banking"/>
    <n v="3"/>
    <b v="0"/>
    <x v="1"/>
    <n v="8"/>
    <m/>
    <s v="Young Age"/>
  </r>
  <r>
    <s v="ORD-04015"/>
    <d v="2024-10-01T00:00:00"/>
    <s v="CUST50530"/>
    <s v="Nikhil Patel"/>
    <n v="36"/>
    <x v="1"/>
    <x v="2"/>
    <s v="Amritsar"/>
    <x v="2"/>
    <x v="3"/>
    <n v="5"/>
    <n v="16493.240000000002"/>
    <n v="0.1"/>
    <x v="181"/>
    <x v="181"/>
    <n v="63.55"/>
    <s v="Cash on Delivery"/>
    <n v="5"/>
    <b v="0"/>
    <x v="1"/>
    <n v="-1"/>
    <m/>
    <s v="Mid Age"/>
  </r>
  <r>
    <s v="ORD-01540"/>
    <d v="2021-11-20T00:00:00"/>
    <s v="CUST28110"/>
    <s v="Kavya Rao"/>
    <n v="28"/>
    <x v="1"/>
    <x v="2"/>
    <s v="Delhi"/>
    <x v="4"/>
    <x v="26"/>
    <n v="9"/>
    <n v="577.16"/>
    <n v="0.35"/>
    <x v="182"/>
    <x v="182"/>
    <n v="45.41"/>
    <s v="UPI"/>
    <n v="3"/>
    <b v="1"/>
    <x v="0"/>
    <n v="2"/>
    <m/>
    <s v="Mid Age"/>
  </r>
  <r>
    <s v="ORD-03094"/>
    <d v="2023-08-30T00:00:00"/>
    <s v="CUST98803"/>
    <s v="Vikram Joshi"/>
    <n v="42"/>
    <x v="1"/>
    <x v="4"/>
    <s v="Kochi"/>
    <x v="2"/>
    <x v="3"/>
    <n v="6"/>
    <n v="21712.77"/>
    <n v="0.14000000000000001"/>
    <x v="183"/>
    <x v="183"/>
    <n v="62.68"/>
    <s v="EMI"/>
    <n v="2"/>
    <b v="0"/>
    <x v="3"/>
    <n v="9"/>
    <m/>
    <s v="Old Age"/>
  </r>
  <r>
    <s v="ORD-03859"/>
    <d v="2024-08-03T00:00:00"/>
    <s v="CUST22956"/>
    <s v="Deepa Chatterjee"/>
    <n v="32"/>
    <x v="0"/>
    <x v="1"/>
    <s v="Surat"/>
    <x v="1"/>
    <x v="23"/>
    <n v="5"/>
    <n v="2341.12"/>
    <n v="7.0000000000000007E-2"/>
    <x v="184"/>
    <x v="184"/>
    <n v="70.78"/>
    <s v="Credit Card"/>
    <s v="N/A"/>
    <b v="1"/>
    <x v="0"/>
    <n v="3"/>
    <m/>
    <s v="Mid Age"/>
  </r>
  <r>
    <s v="ORD-01861"/>
    <d v="2022-04-01T00:00:00"/>
    <s v="CUST08538"/>
    <s v="Shreya Kapoor"/>
    <n v="33"/>
    <x v="1"/>
    <x v="1"/>
    <s v="Surat"/>
    <x v="1"/>
    <x v="10"/>
    <n v="3"/>
    <n v="992.1"/>
    <n v="0.25"/>
    <x v="185"/>
    <x v="185"/>
    <n v="59.26"/>
    <s v="Credit Card"/>
    <s v="N/A"/>
    <b v="0"/>
    <x v="3"/>
    <n v="4"/>
    <m/>
    <s v="Mid Age"/>
  </r>
  <r>
    <s v="ORD-02147"/>
    <d v="2022-07-31T00:00:00"/>
    <s v="CUST10089"/>
    <s v="Vikram Bhat"/>
    <n v="47"/>
    <x v="0"/>
    <x v="3"/>
    <s v="Patna"/>
    <x v="4"/>
    <x v="6"/>
    <n v="2"/>
    <n v="3551.33"/>
    <n v="0.03"/>
    <x v="186"/>
    <x v="186"/>
    <n v="97.74"/>
    <s v="Net Banking"/>
    <n v="3"/>
    <b v="0"/>
    <x v="1"/>
    <n v="8"/>
    <m/>
    <s v="Old Age"/>
  </r>
  <r>
    <s v="ORD-03452"/>
    <d v="2024-02-05T00:00:00"/>
    <s v="CUST47815"/>
    <s v="Aditya Shah"/>
    <s v="N/A"/>
    <x v="2"/>
    <x v="2"/>
    <s v="Delhi"/>
    <x v="6"/>
    <x v="27"/>
    <n v="2"/>
    <n v="9159.84"/>
    <n v="0.21"/>
    <x v="187"/>
    <x v="187"/>
    <n v="58.04"/>
    <s v="EMI"/>
    <n v="4"/>
    <b v="0"/>
    <x v="1"/>
    <n v="4"/>
    <m/>
    <s v="Old Age"/>
  </r>
  <r>
    <s v="ORD-01640"/>
    <d v="2021-12-31T00:00:00"/>
    <s v="CUST78194"/>
    <s v="Shreya Mishra"/>
    <n v="58"/>
    <x v="1"/>
    <x v="1"/>
    <s v="Mumbai"/>
    <x v="6"/>
    <x v="38"/>
    <n v="3"/>
    <n v="726.67"/>
    <n v="0.34"/>
    <x v="188"/>
    <x v="188"/>
    <n v="34.18"/>
    <s v="Cash on Delivery"/>
    <n v="1"/>
    <b v="0"/>
    <x v="4"/>
    <n v="9"/>
    <m/>
    <s v="Old Age"/>
  </r>
  <r>
    <s v="ORD-02680"/>
    <d v="2023-03-06T00:00:00"/>
    <s v="CUST75386"/>
    <s v="Rohan Mishra"/>
    <n v="14"/>
    <x v="1"/>
    <x v="3"/>
    <s v="Guwahati"/>
    <x v="5"/>
    <x v="17"/>
    <n v="3"/>
    <n v="65257.11"/>
    <n v="0.2"/>
    <x v="189"/>
    <x v="189"/>
    <n v="51.41"/>
    <s v="UPI"/>
    <n v="1"/>
    <b v="1"/>
    <x v="0"/>
    <n v="4"/>
    <m/>
    <s v="Young Age"/>
  </r>
  <r>
    <s v="ORD-03902"/>
    <d v="2024-08-14T00:00:00"/>
    <s v="CUST28307"/>
    <s v="Nisha Bhat"/>
    <n v="48"/>
    <x v="0"/>
    <x v="0"/>
    <s v="Indore"/>
    <x v="3"/>
    <x v="5"/>
    <n v="6"/>
    <n v="797.16"/>
    <n v="0.34"/>
    <x v="190"/>
    <x v="190"/>
    <n v="15.7"/>
    <s v="Cash on Delivery"/>
    <n v="4"/>
    <b v="0"/>
    <x v="4"/>
    <n v="2"/>
    <m/>
    <s v="Old Age"/>
  </r>
  <r>
    <s v="ORD-03310"/>
    <d v="2023-12-02T00:00:00"/>
    <s v="CUST44114"/>
    <s v="Aditya Mehta"/>
    <n v="36"/>
    <x v="2"/>
    <x v="2"/>
    <s v="Ludhiana"/>
    <x v="6"/>
    <x v="22"/>
    <m/>
    <n v="11000.34"/>
    <n v="0.04"/>
    <x v="191"/>
    <x v="191"/>
    <n v="62.5"/>
    <s v="Net Banking"/>
    <n v="1"/>
    <b v="0"/>
    <x v="3"/>
    <n v="2"/>
    <m/>
    <s v="Mid Age"/>
  </r>
  <r>
    <s v="ORD-00280"/>
    <d v="2020-05-03T00:00:00"/>
    <s v="CUST00544"/>
    <s v="Sanjay Joshi"/>
    <n v="26"/>
    <x v="1"/>
    <x v="2"/>
    <s v="Ludhiana"/>
    <x v="3"/>
    <x v="32"/>
    <n v="10"/>
    <n v="1346.41"/>
    <n v="0.24"/>
    <x v="192"/>
    <x v="192"/>
    <n v="55.15"/>
    <s v="UPI"/>
    <n v="1"/>
    <b v="0"/>
    <x v="2"/>
    <n v="2"/>
    <m/>
    <s v="Mid Age"/>
  </r>
  <r>
    <s v="ORD-03732"/>
    <d v="2024-06-15T00:00:00"/>
    <s v="CUST93241"/>
    <s v="Nikhil Patel"/>
    <n v="31"/>
    <x v="2"/>
    <x v="2"/>
    <s v="Chandigarh"/>
    <x v="4"/>
    <x v="26"/>
    <n v="10"/>
    <n v="1828.09"/>
    <n v="0.4"/>
    <x v="193"/>
    <x v="193"/>
    <n v="54.66"/>
    <s v="UPI"/>
    <n v="5"/>
    <b v="0"/>
    <x v="1"/>
    <n v="10"/>
    <m/>
    <s v="Mid Age"/>
  </r>
  <r>
    <s v="ORD-01188"/>
    <d v="2021-06-18T00:00:00"/>
    <s v="CUST64503"/>
    <s v="Vikram Gupta"/>
    <n v="27"/>
    <x v="0"/>
    <x v="0"/>
    <s v="Raipur"/>
    <x v="2"/>
    <x v="8"/>
    <n v="5"/>
    <n v="27399.66"/>
    <n v="0.38"/>
    <x v="194"/>
    <x v="194"/>
    <n v="50.34"/>
    <s v="Net Banking"/>
    <s v="N/A"/>
    <b v="0"/>
    <x v="1"/>
    <n v="4"/>
    <m/>
    <s v="Mid Age"/>
  </r>
  <r>
    <s v="ORD-02746"/>
    <d v="2023-04-03T00:00:00"/>
    <s v="CUST71887"/>
    <s v="Nisha Kapoor"/>
    <n v="30"/>
    <x v="0"/>
    <x v="3"/>
    <s v="Bhubaneswar"/>
    <x v="3"/>
    <x v="32"/>
    <n v="10"/>
    <n v="1221.02"/>
    <n v="0.17"/>
    <x v="195"/>
    <x v="195"/>
    <n v="86.46"/>
    <s v="EMI"/>
    <n v="5"/>
    <b v="0"/>
    <x v="2"/>
    <n v="4"/>
    <m/>
    <s v="Mid Age"/>
  </r>
  <r>
    <s v="ORD-02871"/>
    <d v="2023-05-31T00:00:00"/>
    <s v="CUST88518"/>
    <s v="Aditya Bose"/>
    <n v="58"/>
    <x v="2"/>
    <x v="4"/>
    <s v="Hyderabad"/>
    <x v="5"/>
    <x v="17"/>
    <n v="5"/>
    <n v="26851.1"/>
    <n v="0.03"/>
    <x v="196"/>
    <x v="196"/>
    <n v="72.55"/>
    <s v="UPI"/>
    <n v="2"/>
    <b v="0"/>
    <x v="1"/>
    <n v="2"/>
    <m/>
    <s v="Old Age"/>
  </r>
  <r>
    <s v="ORD-03298"/>
    <d v="2023-11-26T00:00:00"/>
    <s v="CUST82100"/>
    <s v="Pooja Kapoor"/>
    <n v="-5"/>
    <x v="2"/>
    <x v="1"/>
    <s v="Surat"/>
    <x v="6"/>
    <x v="20"/>
    <n v="3"/>
    <n v="11118.32"/>
    <n v="0.3"/>
    <x v="197"/>
    <x v="197"/>
    <n v="53.21"/>
    <s v="Net Banking"/>
    <n v="4"/>
    <b v="1"/>
    <x v="0"/>
    <n v="9"/>
    <m/>
    <s v="Young Age"/>
  </r>
  <r>
    <s v="ORD-00693"/>
    <d v="2020-11-09T00:00:00"/>
    <s v="CUST90563"/>
    <s v="Rahul Kumar"/>
    <n v="31"/>
    <x v="1"/>
    <x v="2"/>
    <s v="Delhi"/>
    <x v="1"/>
    <x v="23"/>
    <n v="10"/>
    <n v="1973.78"/>
    <n v="7.0000000000000007E-2"/>
    <x v="198"/>
    <x v="198"/>
    <n v="34.79"/>
    <s v="Credit Card"/>
    <n v="4"/>
    <b v="0"/>
    <x v="1"/>
    <n v="8"/>
    <m/>
    <s v="Mid Age"/>
  </r>
  <r>
    <s v="ORD-02945"/>
    <d v="2023-06-30T00:00:00"/>
    <s v="CUST19434"/>
    <s v="Aarav Das"/>
    <n v="28"/>
    <x v="0"/>
    <x v="3"/>
    <s v="Guwahati"/>
    <x v="2"/>
    <x v="3"/>
    <n v="9"/>
    <n v="12800.64"/>
    <n v="0.3"/>
    <x v="199"/>
    <x v="199"/>
    <n v="77.17"/>
    <s v="Cash on Delivery"/>
    <n v="5"/>
    <b v="0"/>
    <x v="1"/>
    <n v="7"/>
    <m/>
    <s v="Mid Age"/>
  </r>
  <r>
    <s v="ORD-00291"/>
    <d v="2020-08-05T00:00:00"/>
    <s v="CUST36091"/>
    <s v="Meera Mehta"/>
    <n v="43"/>
    <x v="0"/>
    <x v="2"/>
    <s v="Delhi"/>
    <x v="5"/>
    <x v="21"/>
    <n v="5"/>
    <n v="16919.29"/>
    <n v="0.06"/>
    <x v="200"/>
    <x v="200"/>
    <n v="59.99"/>
    <s v="UPI"/>
    <n v="5"/>
    <b v="1"/>
    <x v="0"/>
    <n v="10"/>
    <m/>
    <s v="Old Age"/>
  </r>
  <r>
    <s v="ORD-02931"/>
    <d v="2023-06-23T00:00:00"/>
    <s v="CUST81737"/>
    <s v="Ananya Joshi"/>
    <n v="36"/>
    <x v="0"/>
    <x v="1"/>
    <s v="Surat"/>
    <x v="1"/>
    <x v="41"/>
    <n v="8"/>
    <n v="1976.85"/>
    <n v="0.3"/>
    <x v="201"/>
    <x v="201"/>
    <n v="81.44"/>
    <s v="Debit Card"/>
    <n v="4"/>
    <b v="0"/>
    <x v="1"/>
    <n v="6"/>
    <m/>
    <s v="Mid Age"/>
  </r>
  <r>
    <s v="ORD-00530"/>
    <d v="2020-08-22T00:00:00"/>
    <s v="CUST91144"/>
    <s v="Sanjay Iyer"/>
    <n v="29"/>
    <x v="1"/>
    <x v="3"/>
    <s v="Patna"/>
    <x v="1"/>
    <x v="10"/>
    <n v="1"/>
    <n v="357.7"/>
    <n v="0.24"/>
    <x v="202"/>
    <x v="202"/>
    <n v="95.23"/>
    <s v="Credit Card"/>
    <n v="3"/>
    <b v="0"/>
    <x v="1"/>
    <n v="1"/>
    <m/>
    <s v="Mid Age"/>
  </r>
  <r>
    <s v="ORD-01920"/>
    <d v="2022-04-29T00:00:00"/>
    <s v="CUST28329"/>
    <s v="Vikram Sharma"/>
    <n v="28"/>
    <x v="1"/>
    <x v="1"/>
    <s v="Mumbai"/>
    <x v="0"/>
    <x v="0"/>
    <n v="10"/>
    <n v="321.33999999999997"/>
    <n v="0.16"/>
    <x v="203"/>
    <x v="203"/>
    <n v="47.89"/>
    <s v="Credit Card"/>
    <n v="1"/>
    <b v="0"/>
    <x v="1"/>
    <n v="9"/>
    <m/>
    <s v="Mid Age"/>
  </r>
  <r>
    <s v="ORD-04004"/>
    <d v="2024-09-25T00:00:00"/>
    <s v="CUST45019"/>
    <s v="Nikhil Mishra"/>
    <n v="27"/>
    <x v="0"/>
    <x v="2"/>
    <s v="Amritsar"/>
    <x v="4"/>
    <x v="14"/>
    <n v="1"/>
    <n v="2472.06"/>
    <n v="0.23"/>
    <x v="204"/>
    <x v="204"/>
    <n v="57.21"/>
    <s v="Net Banking"/>
    <n v="5"/>
    <b v="0"/>
    <x v="1"/>
    <n v="10"/>
    <m/>
    <s v="Mid Age"/>
  </r>
  <r>
    <s v="ORD-02861"/>
    <d v="2023-05-29T00:00:00"/>
    <s v="CUST53780"/>
    <s v="Meera Joshi"/>
    <n v="28"/>
    <x v="2"/>
    <x v="2"/>
    <s v="Chandigarh"/>
    <x v="2"/>
    <x v="3"/>
    <n v="4"/>
    <n v="25915.33"/>
    <n v="0.11"/>
    <x v="205"/>
    <x v="205"/>
    <n v="58.32"/>
    <s v="Debit Card"/>
    <n v="5"/>
    <b v="0"/>
    <x v="1"/>
    <n v="10"/>
    <m/>
    <s v="Mid Age"/>
  </r>
  <r>
    <s v="ORD-00403"/>
    <d v="2020-06-22T00:00:00"/>
    <s v="CUST52549"/>
    <s v="Pooja Rao"/>
    <n v="32"/>
    <x v="0"/>
    <x v="2"/>
    <s v="Delhi"/>
    <x v="4"/>
    <x v="12"/>
    <n v="7"/>
    <n v="2701.8"/>
    <n v="0.09"/>
    <x v="206"/>
    <x v="206"/>
    <n v="56.32"/>
    <s v="Cash on Delivery"/>
    <n v="5"/>
    <b v="1"/>
    <x v="0"/>
    <n v="2"/>
    <m/>
    <s v="Mid Age"/>
  </r>
  <r>
    <s v="ORD-03741"/>
    <d v="2024-06-19T00:00:00"/>
    <s v="CUST11870"/>
    <s v="Arjun Iyer"/>
    <n v="28"/>
    <x v="0"/>
    <x v="3"/>
    <s v="Kolkata"/>
    <x v="4"/>
    <x v="16"/>
    <n v="4"/>
    <n v="2577.39"/>
    <n v="0.11"/>
    <x v="207"/>
    <x v="207"/>
    <n v="58.52"/>
    <s v="UPI"/>
    <n v="2"/>
    <b v="0"/>
    <x v="1"/>
    <n v="1"/>
    <m/>
    <s v="Mid Age"/>
  </r>
  <r>
    <s v="ORD-03172"/>
    <d v="2023-10-04T00:00:00"/>
    <s v="CUST73615"/>
    <s v="Sanjay Gupta"/>
    <n v="45"/>
    <x v="1"/>
    <x v="1"/>
    <s v="Surat"/>
    <x v="0"/>
    <x v="9"/>
    <n v="4"/>
    <n v="309.85000000000002"/>
    <n v="0.04"/>
    <x v="208"/>
    <x v="208"/>
    <n v="73.63"/>
    <s v="UPI"/>
    <n v="4"/>
    <b v="1"/>
    <x v="0"/>
    <n v="5"/>
    <m/>
    <s v="Old Age"/>
  </r>
  <r>
    <s v="ORD-00749"/>
    <d v="2020-12-06T00:00:00"/>
    <s v="CUST43010"/>
    <s v="Priya Gupta"/>
    <n v="33"/>
    <x v="0"/>
    <x v="0"/>
    <s v="Nagpur"/>
    <x v="4"/>
    <x v="14"/>
    <n v="8"/>
    <n v="2574.11"/>
    <n v="0.12"/>
    <x v="209"/>
    <x v="209"/>
    <n v="67.94"/>
    <s v="Credit Card"/>
    <n v="5"/>
    <b v="1"/>
    <x v="0"/>
    <n v="10"/>
    <m/>
    <s v="Mid Age"/>
  </r>
  <r>
    <s v="ORD-00053"/>
    <d v="2020-01-21T00:00:00"/>
    <s v="CUST07190"/>
    <s v="Deepa Kapoor"/>
    <n v="33"/>
    <x v="0"/>
    <x v="3"/>
    <s v="Guwahati"/>
    <x v="1"/>
    <x v="10"/>
    <n v="9"/>
    <n v="1931.61"/>
    <n v="0.35"/>
    <x v="210"/>
    <x v="210"/>
    <n v="98.73"/>
    <s v="Net Banking"/>
    <n v="5"/>
    <b v="0"/>
    <x v="1"/>
    <n v="3"/>
    <m/>
    <s v="Mid Age"/>
  </r>
  <r>
    <s v="ORD-01418"/>
    <d v="2021-10-01T00:00:00"/>
    <s v="CUST26109"/>
    <s v="Aditya Gupta"/>
    <n v="52"/>
    <x v="1"/>
    <x v="0"/>
    <s v="Raipur"/>
    <x v="6"/>
    <x v="31"/>
    <n v="3"/>
    <n v="13585.06"/>
    <n v="0.33"/>
    <x v="211"/>
    <x v="211"/>
    <n v="62.01"/>
    <s v="EMI"/>
    <n v="5"/>
    <b v="0"/>
    <x v="3"/>
    <n v="2"/>
    <m/>
    <s v="Old Age"/>
  </r>
  <r>
    <s v="ORD-03527"/>
    <d v="2024-03-11T00:00:00"/>
    <s v="CUST89020"/>
    <s v="Meera Patel"/>
    <n v="11"/>
    <x v="1"/>
    <x v="3"/>
    <s v="Guwahati"/>
    <x v="4"/>
    <x v="12"/>
    <n v="2"/>
    <n v="1543.23"/>
    <n v="0.26"/>
    <x v="212"/>
    <x v="212"/>
    <n v="71.02"/>
    <s v="UPI"/>
    <n v="5"/>
    <b v="0"/>
    <x v="1"/>
    <n v="6"/>
    <m/>
    <s v="Young Age"/>
  </r>
  <r>
    <s v="ORD-02382"/>
    <d v="2022-10-28T00:00:00"/>
    <s v="CUST54015"/>
    <s v="Shreya Rao"/>
    <n v="48"/>
    <x v="2"/>
    <x v="1"/>
    <s v="Pune"/>
    <x v="6"/>
    <x v="18"/>
    <n v="1"/>
    <n v="14172.12"/>
    <n v="0.14000000000000001"/>
    <x v="213"/>
    <x v="213"/>
    <n v="79.52"/>
    <s v="EMI"/>
    <n v="5"/>
    <b v="0"/>
    <x v="1"/>
    <n v="6"/>
    <m/>
    <s v="Old Age"/>
  </r>
  <r>
    <s v="ORD-00601"/>
    <d v="2020-09-25T00:00:00"/>
    <s v="CUST39660"/>
    <s v="Priya Pillai"/>
    <n v="53"/>
    <x v="1"/>
    <x v="4"/>
    <s v="Kochi"/>
    <x v="3"/>
    <x v="32"/>
    <n v="7"/>
    <n v="298.01"/>
    <n v="0.2"/>
    <x v="214"/>
    <x v="214"/>
    <n v="71.67"/>
    <s v="EMI"/>
    <n v="2"/>
    <b v="1"/>
    <x v="0"/>
    <n v="2"/>
    <m/>
    <s v="Old Age"/>
  </r>
  <r>
    <s v="ORD-00339"/>
    <d v="2020-05-27T00:00:00"/>
    <s v="CUST65020"/>
    <s v="Pooja Bhat"/>
    <n v="28"/>
    <x v="0"/>
    <x v="1"/>
    <s v="Pune"/>
    <x v="2"/>
    <x v="8"/>
    <n v="10"/>
    <n v="2690.93"/>
    <n v="0.35"/>
    <x v="215"/>
    <x v="215"/>
    <n v="43.86"/>
    <s v="UPI"/>
    <n v="4"/>
    <b v="1"/>
    <x v="0"/>
    <n v="4"/>
    <m/>
    <s v="Mid Age"/>
  </r>
  <r>
    <s v="ORD-02825"/>
    <d v="2023-05-12T00:00:00"/>
    <s v="CUST40911"/>
    <s v="Ritu Gupta"/>
    <n v="51"/>
    <x v="0"/>
    <x v="0"/>
    <s v="Raipur"/>
    <x v="0"/>
    <x v="34"/>
    <n v="1"/>
    <n v="380.33"/>
    <n v="0.2"/>
    <x v="216"/>
    <x v="216"/>
    <n v="61.88"/>
    <s v="UPI"/>
    <s v="N/A"/>
    <b v="0"/>
    <x v="1"/>
    <s v="N/A"/>
    <m/>
    <s v="Old Age"/>
  </r>
  <r>
    <s v="ORD-01292"/>
    <d v="2021-08-06T00:00:00"/>
    <s v="CUST14859"/>
    <s v="Vikram Mehta"/>
    <n v="21"/>
    <x v="2"/>
    <x v="1"/>
    <s v="Surat"/>
    <x v="1"/>
    <x v="10"/>
    <n v="3"/>
    <n v="1302.9000000000001"/>
    <n v="0.23"/>
    <x v="217"/>
    <x v="217"/>
    <n v="82.26"/>
    <s v="UPI"/>
    <n v="2"/>
    <b v="0"/>
    <x v="3"/>
    <n v="5"/>
    <m/>
    <s v="Young Age"/>
  </r>
  <r>
    <s v="ORD-03394"/>
    <d v="2024-01-09T00:00:00"/>
    <s v="CUST94721"/>
    <s v="Nisha Reddy"/>
    <n v="26"/>
    <x v="1"/>
    <x v="2"/>
    <s v="Ludhiana"/>
    <x v="5"/>
    <x v="33"/>
    <n v="4"/>
    <n v="13215.16"/>
    <n v="0.15"/>
    <x v="218"/>
    <x v="218"/>
    <n v="36.17"/>
    <s v="Net Banking"/>
    <n v="2"/>
    <b v="0"/>
    <x v="1"/>
    <n v="3"/>
    <m/>
    <s v="Mid Age"/>
  </r>
  <r>
    <s v="ORD-03486"/>
    <d v="2024-02-24T00:00:00"/>
    <s v="CUST56798"/>
    <s v="Meera Pillai"/>
    <n v="28"/>
    <x v="2"/>
    <x v="3"/>
    <s v="Guwahati"/>
    <x v="4"/>
    <x v="6"/>
    <n v="5"/>
    <n v="3018.53"/>
    <n v="0.26"/>
    <x v="219"/>
    <x v="219"/>
    <n v="73.33"/>
    <s v="Credit Card"/>
    <n v="1"/>
    <b v="0"/>
    <x v="4"/>
    <n v="4"/>
    <m/>
    <s v="Mid Age"/>
  </r>
  <r>
    <s v="ORD-03191"/>
    <d v="2023-10-13T00:00:00"/>
    <s v="CUST15190"/>
    <s v="Aditya Shah"/>
    <n v="37"/>
    <x v="1"/>
    <x v="4"/>
    <s v="Hyderabad"/>
    <x v="1"/>
    <x v="41"/>
    <n v="4"/>
    <n v="817.47"/>
    <n v="0.24"/>
    <x v="220"/>
    <x v="220"/>
    <n v="61.6"/>
    <s v="Debit Card"/>
    <n v="5"/>
    <b v="0"/>
    <x v="3"/>
    <n v="2"/>
    <m/>
    <s v="Mid Age"/>
  </r>
  <r>
    <s v="ORD-00183"/>
    <d v="2020-03-22T00:00:00"/>
    <s v="CUST16395"/>
    <s v="Sunita Pillai"/>
    <n v="19"/>
    <x v="0"/>
    <x v="0"/>
    <s v="Raipur"/>
    <x v="1"/>
    <x v="1"/>
    <n v="9"/>
    <n v="646.01"/>
    <n v="0.38"/>
    <x v="221"/>
    <x v="221"/>
    <n v="51.72"/>
    <s v="Credit Card"/>
    <n v="2"/>
    <b v="0"/>
    <x v="2"/>
    <n v="3"/>
    <m/>
    <s v="Young Age"/>
  </r>
  <r>
    <s v="ORD-02779"/>
    <d v="2023-04-18T00:00:00"/>
    <s v="CUST66673"/>
    <s v="Pooja Mehta"/>
    <n v="32"/>
    <x v="2"/>
    <x v="3"/>
    <s v="Bhubaneswar"/>
    <x v="1"/>
    <x v="29"/>
    <n v="1"/>
    <n v="588.9"/>
    <n v="0.03"/>
    <x v="222"/>
    <x v="222"/>
    <n v="76.290000000000006"/>
    <s v="Net Banking"/>
    <n v="5"/>
    <b v="0"/>
    <x v="1"/>
    <n v="5"/>
    <m/>
    <s v="Mid Age"/>
  </r>
  <r>
    <s v="ORD-01224"/>
    <d v="2021-07-06T00:00:00"/>
    <s v="CUST34079"/>
    <s v="Nisha Das"/>
    <n v="40"/>
    <x v="1"/>
    <x v="0"/>
    <s v="Bhopal"/>
    <x v="4"/>
    <x v="12"/>
    <n v="6"/>
    <n v="3032.93"/>
    <n v="0.08"/>
    <x v="223"/>
    <x v="223"/>
    <n v="27.7"/>
    <s v="EMI"/>
    <n v="1"/>
    <b v="0"/>
    <x v="1"/>
    <n v="4"/>
    <m/>
    <s v="Mid Age"/>
  </r>
  <r>
    <s v="ORD-03282"/>
    <d v="2023-11-18T00:00:00"/>
    <s v="CUST30266"/>
    <s v="Deepa Bose"/>
    <n v="34"/>
    <x v="2"/>
    <x v="1"/>
    <s v="Surat"/>
    <x v="6"/>
    <x v="38"/>
    <n v="3"/>
    <n v="14108.02"/>
    <n v="0.12"/>
    <x v="224"/>
    <x v="224"/>
    <n v="56.58"/>
    <s v="EMI"/>
    <n v="2"/>
    <b v="0"/>
    <x v="1"/>
    <n v="10"/>
    <m/>
    <s v="Mid Age"/>
  </r>
  <r>
    <s v="ORD-03259"/>
    <d v="2023-11-08T00:00:00"/>
    <s v="CUST28855"/>
    <s v="Kavya Kumar"/>
    <n v="26"/>
    <x v="2"/>
    <x v="4"/>
    <s v="Chennai"/>
    <x v="0"/>
    <x v="4"/>
    <n v="9"/>
    <n v="165.39"/>
    <n v="0.22"/>
    <x v="225"/>
    <x v="225"/>
    <n v="71.09"/>
    <s v="Cash on Delivery"/>
    <n v="3"/>
    <b v="0"/>
    <x v="1"/>
    <n v="6"/>
    <m/>
    <s v="Mid Age"/>
  </r>
  <r>
    <s v="ORD-00458"/>
    <d v="2020-07-20T00:00:00"/>
    <s v="CUST53954"/>
    <s v="Amit Kapoor"/>
    <n v="40"/>
    <x v="0"/>
    <x v="0"/>
    <s v="Nagpur"/>
    <x v="3"/>
    <x v="11"/>
    <n v="4"/>
    <n v="313.79000000000002"/>
    <n v="0.37"/>
    <x v="226"/>
    <x v="226"/>
    <n v="43.26"/>
    <s v="Net Banking"/>
    <n v="2"/>
    <b v="0"/>
    <x v="1"/>
    <s v="N/A"/>
    <m/>
    <s v="Mid Age"/>
  </r>
  <r>
    <s v="ORD-02316"/>
    <d v="2022-10-04T00:00:00"/>
    <s v="CUST62789"/>
    <s v="Ananya Gupta"/>
    <n v="40"/>
    <x v="0"/>
    <x v="4"/>
    <s v="Kochi"/>
    <x v="0"/>
    <x v="9"/>
    <n v="4"/>
    <n v="314.73"/>
    <n v="0.15"/>
    <x v="227"/>
    <x v="227"/>
    <n v="79"/>
    <s v="Cash on Delivery"/>
    <s v="N/A"/>
    <b v="0"/>
    <x v="1"/>
    <n v="8"/>
    <m/>
    <s v="Mid Age"/>
  </r>
  <r>
    <s v="ORD-02007"/>
    <d v="2022-06-04T00:00:00"/>
    <s v="CUST96054"/>
    <s v="Ritu Nair"/>
    <n v="40"/>
    <x v="0"/>
    <x v="3"/>
    <s v="Bhubaneswar"/>
    <x v="5"/>
    <x v="39"/>
    <n v="7"/>
    <n v="21000.78"/>
    <n v="0.3"/>
    <x v="228"/>
    <x v="228"/>
    <n v="115.73"/>
    <s v="UPI"/>
    <n v="5"/>
    <b v="0"/>
    <x v="1"/>
    <n v="6"/>
    <m/>
    <s v="Mid Age"/>
  </r>
  <r>
    <s v="ORD-02400"/>
    <d v="2022-11-04T00:00:00"/>
    <s v="CUST21465"/>
    <s v="Pooja Kumar"/>
    <n v="33"/>
    <x v="2"/>
    <x v="1"/>
    <s v="Ahmedabad"/>
    <x v="4"/>
    <x v="6"/>
    <n v="7"/>
    <n v="525.25"/>
    <n v="0.03"/>
    <x v="229"/>
    <x v="229"/>
    <n v="48.82"/>
    <s v="UPI"/>
    <n v="4"/>
    <b v="0"/>
    <x v="1"/>
    <n v="8"/>
    <m/>
    <s v="Mid Age"/>
  </r>
  <r>
    <s v="ORD-02972"/>
    <d v="2023-07-10T00:00:00"/>
    <s v="CUST95419"/>
    <s v="Deepa Joshi"/>
    <n v="37"/>
    <x v="1"/>
    <x v="1"/>
    <s v="Pune"/>
    <x v="1"/>
    <x v="29"/>
    <n v="9"/>
    <n v="108.24"/>
    <n v="0.18"/>
    <x v="230"/>
    <x v="230"/>
    <n v="55.36"/>
    <s v="UPI"/>
    <n v="4"/>
    <b v="0"/>
    <x v="1"/>
    <n v="5"/>
    <m/>
    <s v="Mid Age"/>
  </r>
  <r>
    <s v="ORD-03622"/>
    <d v="2024-04-24T00:00:00"/>
    <s v="CUST32129"/>
    <s v="Sunita Iyer"/>
    <n v="39"/>
    <x v="0"/>
    <x v="4"/>
    <s v="Hyderabad"/>
    <x v="5"/>
    <x v="33"/>
    <n v="7"/>
    <n v="45364.52"/>
    <n v="0.08"/>
    <x v="231"/>
    <x v="231"/>
    <n v="59.16"/>
    <s v="EMI"/>
    <n v="1"/>
    <b v="1"/>
    <x v="0"/>
    <n v="8"/>
    <m/>
    <s v="Mid Age"/>
  </r>
  <r>
    <s v="ORD-00200"/>
    <d v="2020-03-30T00:00:00"/>
    <s v="CUST79644"/>
    <s v="Aarav Verma"/>
    <n v="23"/>
    <x v="2"/>
    <x v="1"/>
    <s v="Mumbai"/>
    <x v="6"/>
    <x v="31"/>
    <n v="5"/>
    <n v="9009.65"/>
    <n v="0.08"/>
    <x v="232"/>
    <x v="232"/>
    <n v="58.16"/>
    <s v="EMI"/>
    <n v="3"/>
    <b v="0"/>
    <x v="1"/>
    <n v="4"/>
    <m/>
    <s v="Young Age"/>
  </r>
  <r>
    <s v="ORD-04057"/>
    <d v="2024-10-25T00:00:00"/>
    <s v="CUST95307"/>
    <s v="Nisha Mehta"/>
    <n v="28"/>
    <x v="2"/>
    <x v="0"/>
    <s v="Raipur"/>
    <x v="5"/>
    <x v="17"/>
    <n v="3"/>
    <n v="9261.39"/>
    <n v="0.24"/>
    <x v="233"/>
    <x v="233"/>
    <n v="42.63"/>
    <s v="EMI"/>
    <n v="3"/>
    <b v="0"/>
    <x v="3"/>
    <n v="4"/>
    <m/>
    <s v="Mid Age"/>
  </r>
  <r>
    <s v="ORD-02618"/>
    <d v="2023-02-10T00:00:00"/>
    <s v="CUST54344"/>
    <s v="Nisha Reddy"/>
    <n v="41"/>
    <x v="2"/>
    <x v="2"/>
    <s v="Delhi"/>
    <x v="4"/>
    <x v="6"/>
    <n v="5"/>
    <n v="2531.54"/>
    <n v="0"/>
    <x v="234"/>
    <x v="234"/>
    <n v="49.22"/>
    <s v="Net Banking"/>
    <n v="3"/>
    <b v="0"/>
    <x v="4"/>
    <n v="4"/>
    <m/>
    <s v="Old Age"/>
  </r>
  <r>
    <s v="ORD-02742"/>
    <d v="2023-04-01T00:00:00"/>
    <s v="CUST34359"/>
    <s v="Shreya Kumar"/>
    <n v="27"/>
    <x v="1"/>
    <x v="1"/>
    <s v="Pune"/>
    <x v="2"/>
    <x v="24"/>
    <n v="7"/>
    <n v="23696.15"/>
    <n v="0.33"/>
    <x v="235"/>
    <x v="235"/>
    <n v="51.3"/>
    <s v="Cash on Delivery"/>
    <s v="N/A"/>
    <b v="0"/>
    <x v="2"/>
    <n v="1"/>
    <m/>
    <s v="Mid Age"/>
  </r>
  <r>
    <s v="ORD-01568"/>
    <d v="2021-12-02T00:00:00"/>
    <s v="CUST42665"/>
    <s v="Shreya Chatterjee"/>
    <n v="24"/>
    <x v="1"/>
    <x v="4"/>
    <s v="Kochi"/>
    <x v="0"/>
    <x v="34"/>
    <n v="1"/>
    <n v="359.04"/>
    <n v="0.01"/>
    <x v="236"/>
    <x v="236"/>
    <n v="72.66"/>
    <s v="Cash on Delivery"/>
    <s v="N/A"/>
    <b v="0"/>
    <x v="1"/>
    <n v="10"/>
    <m/>
    <s v="Young Age"/>
  </r>
  <r>
    <s v="ORD-02757"/>
    <d v="2023-04-08T00:00:00"/>
    <s v="CUST97559"/>
    <s v="Sunita Kumar"/>
    <n v="49"/>
    <x v="1"/>
    <x v="1"/>
    <s v="Ahmedabad"/>
    <x v="6"/>
    <x v="18"/>
    <n v="4"/>
    <n v="2360.4"/>
    <n v="0.36"/>
    <x v="237"/>
    <x v="237"/>
    <n v="46.73"/>
    <s v="Credit Card"/>
    <n v="2"/>
    <b v="0"/>
    <x v="1"/>
    <n v="2"/>
    <m/>
    <s v="Old Age"/>
  </r>
  <r>
    <s v="ORD-00881"/>
    <d v="2021-02-02T00:00:00"/>
    <s v="CUST31073"/>
    <s v="Kavya Shah"/>
    <n v="48"/>
    <x v="1"/>
    <x v="3"/>
    <s v="Bhubaneswar"/>
    <x v="0"/>
    <x v="36"/>
    <n v="7"/>
    <n v="474.48"/>
    <n v="0.26"/>
    <x v="238"/>
    <x v="238"/>
    <n v="40.18"/>
    <s v="Debit Card"/>
    <n v="1"/>
    <b v="1"/>
    <x v="0"/>
    <n v="2"/>
    <m/>
    <s v="Old Age"/>
  </r>
  <r>
    <s v="ORD-01700"/>
    <d v="2022-01-28T00:00:00"/>
    <s v="CUST75005"/>
    <s v="Meera Bhat"/>
    <n v="16"/>
    <x v="2"/>
    <x v="4"/>
    <s v="Bangalore"/>
    <x v="6"/>
    <x v="27"/>
    <n v="3"/>
    <n v="14928.96"/>
    <n v="0.4"/>
    <x v="239"/>
    <x v="239"/>
    <n v="60.83"/>
    <s v="UPI"/>
    <n v="1"/>
    <b v="0"/>
    <x v="1"/>
    <n v="8"/>
    <m/>
    <s v="Young Age"/>
  </r>
  <r>
    <s v="ORD-00751"/>
    <d v="2020-12-07T00:00:00"/>
    <s v="CUST41385"/>
    <s v="Rohan Patel"/>
    <n v="32"/>
    <x v="1"/>
    <x v="2"/>
    <s v="Amritsar"/>
    <x v="3"/>
    <x v="11"/>
    <n v="999"/>
    <n v="403.63"/>
    <n v="0.15"/>
    <x v="240"/>
    <x v="240"/>
    <n v="48.7"/>
    <s v="EMI"/>
    <n v="5"/>
    <b v="0"/>
    <x v="1"/>
    <n v="1"/>
    <m/>
    <s v="Mid Age"/>
  </r>
  <r>
    <s v="ORD-01788"/>
    <d v="2022-03-04T00:00:00"/>
    <s v="CUST10753"/>
    <s v="Kavya Kumar"/>
    <n v="51"/>
    <x v="1"/>
    <x v="0"/>
    <s v="Indore"/>
    <x v="1"/>
    <x v="29"/>
    <n v="6"/>
    <n v="153.84"/>
    <n v="0.09"/>
    <x v="241"/>
    <x v="241"/>
    <n v="54.61"/>
    <s v="Debit Card"/>
    <n v="3"/>
    <b v="0"/>
    <x v="1"/>
    <n v="9"/>
    <m/>
    <s v="Old Age"/>
  </r>
  <r>
    <s v="ORD-00262"/>
    <d v="2020-04-25T00:00:00"/>
    <s v="CUST33827"/>
    <s v="Rahul Bose"/>
    <n v="24"/>
    <x v="1"/>
    <x v="1"/>
    <s v="Surat"/>
    <x v="2"/>
    <x v="8"/>
    <n v="2"/>
    <n v="3582.55"/>
    <n v="0.08"/>
    <x v="242"/>
    <x v="242"/>
    <n v="54.88"/>
    <s v="Debit Card"/>
    <n v="3"/>
    <b v="0"/>
    <x v="1"/>
    <n v="7"/>
    <m/>
    <s v="Young Age"/>
  </r>
  <r>
    <s v="ORD-04086"/>
    <d v="2024-11-07T00:00:00"/>
    <s v="CUST69304"/>
    <s v="Kavya Shah"/>
    <n v="57"/>
    <x v="0"/>
    <x v="1"/>
    <s v="Ahmedabad"/>
    <x v="5"/>
    <x v="15"/>
    <n v="9"/>
    <n v="70570.87"/>
    <n v="0.27"/>
    <x v="243"/>
    <x v="243"/>
    <n v="66.680000000000007"/>
    <s v="Debit Card"/>
    <n v="2"/>
    <b v="0"/>
    <x v="1"/>
    <n v="3"/>
    <m/>
    <s v="Old Age"/>
  </r>
  <r>
    <s v="ORD-03415"/>
    <d v="2024-01-19T00:00:00"/>
    <s v="CUST23737"/>
    <s v="Karan Kumar"/>
    <n v="42"/>
    <x v="1"/>
    <x v="1"/>
    <s v="Surat"/>
    <x v="5"/>
    <x v="21"/>
    <n v="2"/>
    <n v="46140.78"/>
    <n v="0"/>
    <x v="244"/>
    <x v="244"/>
    <n v="85.6"/>
    <s v="Debit Card"/>
    <n v="1"/>
    <b v="0"/>
    <x v="1"/>
    <n v="6"/>
    <m/>
    <s v="Old Age"/>
  </r>
  <r>
    <s v="ORD-01693"/>
    <d v="2022-01-24T00:00:00"/>
    <s v="CUST37446"/>
    <s v="Shreya Das"/>
    <n v="66"/>
    <x v="0"/>
    <x v="2"/>
    <s v="Delhi"/>
    <x v="1"/>
    <x v="10"/>
    <n v="9"/>
    <n v="265.25"/>
    <n v="0.18"/>
    <x v="245"/>
    <x v="245"/>
    <n v="28.69"/>
    <s v="Credit Card"/>
    <n v="2"/>
    <b v="0"/>
    <x v="1"/>
    <n v="5"/>
    <m/>
    <s v="Old Age"/>
  </r>
  <r>
    <s v="ORD-02495"/>
    <d v="2022-12-18T00:00:00"/>
    <s v="CUST29148"/>
    <s v="Amit Kumar"/>
    <n v="22"/>
    <x v="2"/>
    <x v="4"/>
    <s v="Bangalore"/>
    <x v="0"/>
    <x v="0"/>
    <n v="7"/>
    <n v="56.3"/>
    <n v="0.16"/>
    <x v="246"/>
    <x v="246"/>
    <n v="83.47"/>
    <s v="Net Banking"/>
    <n v="4"/>
    <b v="1"/>
    <x v="0"/>
    <n v="6"/>
    <m/>
    <s v="Young Age"/>
  </r>
  <r>
    <s v="ORD-02508"/>
    <d v="2022-12-24T00:00:00"/>
    <s v="CUST55151"/>
    <s v="Ananya Reddy"/>
    <n v="27"/>
    <x v="1"/>
    <x v="3"/>
    <s v="Kolkata"/>
    <x v="2"/>
    <x v="8"/>
    <n v="1"/>
    <n v="21949.11"/>
    <n v="0.11"/>
    <x v="247"/>
    <x v="247"/>
    <n v="87.46"/>
    <s v="EMI"/>
    <n v="1"/>
    <b v="0"/>
    <x v="1"/>
    <n v="2"/>
    <m/>
    <s v="Mid Age"/>
  </r>
  <r>
    <s v="ORD-02734"/>
    <d v="2023-03-30T00:00:00"/>
    <s v="CUST69340"/>
    <s v="Sanjay Kapoor"/>
    <n v="31"/>
    <x v="1"/>
    <x v="4"/>
    <s v="Chennai"/>
    <x v="3"/>
    <x v="30"/>
    <n v="10"/>
    <n v="432.2"/>
    <n v="0.22"/>
    <x v="248"/>
    <x v="248"/>
    <n v="69.099999999999994"/>
    <s v="Net Banking"/>
    <s v="N/A"/>
    <b v="0"/>
    <x v="1"/>
    <n v="5"/>
    <m/>
    <s v="Mid Age"/>
  </r>
  <r>
    <s v="ORD-01872"/>
    <d v="2022-04-06T00:00:00"/>
    <s v="CUST60962"/>
    <s v="Shreya Rao"/>
    <n v="30"/>
    <x v="1"/>
    <x v="2"/>
    <s v="Amritsar"/>
    <x v="6"/>
    <x v="22"/>
    <n v="10"/>
    <n v="8393.4"/>
    <n v="0.27"/>
    <x v="249"/>
    <x v="249"/>
    <n v="54.18"/>
    <s v="Net Banking"/>
    <n v="2"/>
    <b v="0"/>
    <x v="1"/>
    <n v="8"/>
    <m/>
    <s v="Mid Age"/>
  </r>
  <r>
    <s v="ORD-01233"/>
    <d v="2021-07-10T00:00:00"/>
    <s v="CUST64805"/>
    <s v="Priya Mishra"/>
    <n v="33"/>
    <x v="2"/>
    <x v="4"/>
    <s v="Hyderabad"/>
    <x v="4"/>
    <x v="16"/>
    <n v="6"/>
    <n v="2619.38"/>
    <n v="0.24"/>
    <x v="250"/>
    <x v="250"/>
    <n v="23.2"/>
    <s v="EMI"/>
    <n v="2"/>
    <b v="0"/>
    <x v="1"/>
    <n v="4"/>
    <m/>
    <s v="Mid Age"/>
  </r>
  <r>
    <s v="ORD-00752"/>
    <d v="2020-12-07T00:00:00"/>
    <s v="CUST76726"/>
    <s v="Meera Rao"/>
    <n v="26"/>
    <x v="1"/>
    <x v="1"/>
    <s v="Surat"/>
    <x v="6"/>
    <x v="27"/>
    <n v="8"/>
    <n v="4670.6000000000004"/>
    <n v="0.27"/>
    <x v="251"/>
    <x v="251"/>
    <n v="51.67"/>
    <s v="Credit Card"/>
    <n v="4"/>
    <b v="0"/>
    <x v="1"/>
    <n v="4"/>
    <m/>
    <s v="Mid Age"/>
  </r>
  <r>
    <s v="ORD-00038"/>
    <d v="2020-01-14T00:00:00"/>
    <s v="CUST79223"/>
    <s v="Sunita Reddy"/>
    <n v="20"/>
    <x v="1"/>
    <x v="3"/>
    <s v="Kolkata"/>
    <x v="3"/>
    <x v="30"/>
    <n v="1"/>
    <n v="1172.06"/>
    <n v="0.18"/>
    <x v="252"/>
    <x v="252"/>
    <n v="62.05"/>
    <s v="Cash on Delivery"/>
    <n v="4"/>
    <b v="0"/>
    <x v="1"/>
    <n v="1"/>
    <m/>
    <s v="Young Age"/>
  </r>
  <r>
    <s v="ORD-00994"/>
    <d v="2021-03-29T00:00:00"/>
    <s v="CUST13598"/>
    <s v="Sanjay Chatterjee"/>
    <n v="31"/>
    <x v="1"/>
    <x v="4"/>
    <s v="Chennai"/>
    <x v="5"/>
    <x v="33"/>
    <n v="4"/>
    <n v="70635.62"/>
    <n v="0.32"/>
    <x v="253"/>
    <x v="253"/>
    <n v="73.83"/>
    <s v="UPI"/>
    <n v="2"/>
    <b v="0"/>
    <x v="2"/>
    <n v="1"/>
    <m/>
    <s v="Mid Age"/>
  </r>
  <r>
    <s v="ORD-00436"/>
    <d v="2020-07-10T00:00:00"/>
    <s v="CUST18887"/>
    <s v="Pooja Kapoor"/>
    <n v="43"/>
    <x v="2"/>
    <x v="1"/>
    <s v="Pune"/>
    <x v="3"/>
    <x v="40"/>
    <n v="2"/>
    <n v="449.62"/>
    <n v="0.4"/>
    <x v="254"/>
    <x v="254"/>
    <n v="68.849999999999994"/>
    <s v="Debit Card"/>
    <n v="1"/>
    <b v="0"/>
    <x v="1"/>
    <n v="6"/>
    <m/>
    <s v="Old Age"/>
  </r>
  <r>
    <s v="ORD-00923"/>
    <d v="2021-02-22T00:00:00"/>
    <s v="CUST41859"/>
    <s v="Deepa Kumar"/>
    <n v="38"/>
    <x v="0"/>
    <x v="0"/>
    <s v="Nagpur"/>
    <x v="1"/>
    <x v="41"/>
    <n v="7"/>
    <n v="322.75"/>
    <n v="0.15"/>
    <x v="255"/>
    <x v="255"/>
    <n v="28.86"/>
    <s v="Cash on Delivery"/>
    <n v="1"/>
    <b v="1"/>
    <x v="0"/>
    <n v="5"/>
    <m/>
    <s v="Mid Age"/>
  </r>
  <r>
    <s v="ORD-03838"/>
    <d v="2024-07-26T00:00:00"/>
    <s v="CUST12042"/>
    <s v="Vikram Reddy"/>
    <n v="39"/>
    <x v="1"/>
    <x v="2"/>
    <s v="Amritsar"/>
    <x v="0"/>
    <x v="4"/>
    <n v="2"/>
    <n v="92.87"/>
    <n v="0.33"/>
    <x v="256"/>
    <x v="256"/>
    <n v="36.78"/>
    <s v="EMI"/>
    <n v="3"/>
    <b v="0"/>
    <x v="3"/>
    <s v="N/A"/>
    <m/>
    <s v="Mid Age"/>
  </r>
  <r>
    <s v="ORD-04035"/>
    <d v="2024-10-16T00:00:00"/>
    <s v="CUST10272"/>
    <s v="Sunita Das"/>
    <n v="20"/>
    <x v="1"/>
    <x v="4"/>
    <s v="Kochi"/>
    <x v="5"/>
    <x v="33"/>
    <n v="1"/>
    <n v="78299.490000000005"/>
    <n v="0.18"/>
    <x v="257"/>
    <x v="257"/>
    <n v="80.12"/>
    <s v="Credit Card"/>
    <n v="3"/>
    <b v="0"/>
    <x v="1"/>
    <n v="9"/>
    <m/>
    <s v="Young Age"/>
  </r>
  <r>
    <s v="ORD-04090"/>
    <d v="2024-11-09T00:00:00"/>
    <s v="CUST31562"/>
    <s v="Rohan Shah"/>
    <n v="33"/>
    <x v="1"/>
    <x v="3"/>
    <s v="Patna"/>
    <x v="4"/>
    <x v="26"/>
    <n v="4"/>
    <n v="1153.04"/>
    <n v="0.23"/>
    <x v="258"/>
    <x v="258"/>
    <n v="67.930000000000007"/>
    <s v="Credit Card"/>
    <n v="2"/>
    <b v="0"/>
    <x v="1"/>
    <n v="1"/>
    <m/>
    <s v="Mid Age"/>
  </r>
  <r>
    <s v="ORD-02193"/>
    <d v="2022-08-15T00:00:00"/>
    <s v="CUST54369"/>
    <s v="Priya Rao"/>
    <n v="65"/>
    <x v="0"/>
    <x v="3"/>
    <s v="Kolkata"/>
    <x v="3"/>
    <x v="30"/>
    <n v="6"/>
    <n v="966.11"/>
    <n v="0.28999999999999998"/>
    <x v="259"/>
    <x v="259"/>
    <n v="107.74"/>
    <s v="Net Banking"/>
    <n v="1"/>
    <b v="0"/>
    <x v="3"/>
    <s v="N/A"/>
    <m/>
    <s v="Old Age"/>
  </r>
  <r>
    <s v="ORD-03275"/>
    <d v="2023-11-16T00:00:00"/>
    <s v="CUST06690"/>
    <s v="Sunita Iyer"/>
    <n v="28"/>
    <x v="0"/>
    <x v="1"/>
    <s v="Ahmedabad"/>
    <x v="4"/>
    <x v="6"/>
    <n v="8"/>
    <n v="1471.86"/>
    <n v="0.27"/>
    <x v="260"/>
    <x v="260"/>
    <n v="87.43"/>
    <s v="Credit Card"/>
    <s v="N/A"/>
    <b v="0"/>
    <x v="1"/>
    <n v="7"/>
    <m/>
    <s v="Mid Age"/>
  </r>
  <r>
    <s v="ORD-01237"/>
    <d v="2021-07-12T00:00:00"/>
    <s v="CUST86703"/>
    <s v="Sanjay Verma"/>
    <n v="20"/>
    <x v="2"/>
    <x v="2"/>
    <s v="Amritsar"/>
    <x v="5"/>
    <x v="39"/>
    <n v="3"/>
    <n v="33090.17"/>
    <n v="0.22"/>
    <x v="261"/>
    <x v="261"/>
    <n v="57.35"/>
    <s v="EMI"/>
    <n v="5"/>
    <b v="1"/>
    <x v="0"/>
    <s v="N/A"/>
    <m/>
    <s v="Young Age"/>
  </r>
  <r>
    <s v="ORD-03401"/>
    <d v="2024-01-13T00:00:00"/>
    <s v="CUST97545"/>
    <s v="Ritu Bose"/>
    <n v="25"/>
    <x v="0"/>
    <x v="0"/>
    <s v="Raipur"/>
    <x v="3"/>
    <x v="11"/>
    <n v="2"/>
    <n v="365.34"/>
    <n v="0.09"/>
    <x v="262"/>
    <x v="262"/>
    <n v="52.27"/>
    <s v="UPI"/>
    <n v="2"/>
    <b v="0"/>
    <x v="1"/>
    <n v="4"/>
    <m/>
    <s v="Young Age"/>
  </r>
  <r>
    <s v="ORD-04160"/>
    <d v="2024-12-11T00:00:00"/>
    <s v="CUST91116"/>
    <s v="Rohan Patel"/>
    <n v="36"/>
    <x v="1"/>
    <x v="4"/>
    <s v="Hyderabad"/>
    <x v="3"/>
    <x v="40"/>
    <n v="7"/>
    <n v="609.79"/>
    <n v="0.25"/>
    <x v="263"/>
    <x v="263"/>
    <n v="68.86"/>
    <s v="UPI"/>
    <n v="3"/>
    <b v="0"/>
    <x v="1"/>
    <n v="7"/>
    <m/>
    <s v="Mid Age"/>
  </r>
  <r>
    <s v="ORD-01192"/>
    <d v="2021-06-20T00:00:00"/>
    <s v="CUST39249"/>
    <s v="Pooja Kapoor"/>
    <n v="34"/>
    <x v="0"/>
    <x v="4"/>
    <s v="Kochi"/>
    <x v="0"/>
    <x v="4"/>
    <n v="7"/>
    <n v="363.21"/>
    <n v="0.38"/>
    <x v="264"/>
    <x v="264"/>
    <n v="73.22"/>
    <s v="UPI"/>
    <n v="4"/>
    <b v="0"/>
    <x v="4"/>
    <n v="1"/>
    <m/>
    <s v="Mid Age"/>
  </r>
  <r>
    <s v="ORD-01195"/>
    <d v="2021-06-23T00:00:00"/>
    <s v="CUST26595"/>
    <s v="Ananya Gupta"/>
    <n v="40"/>
    <x v="0"/>
    <x v="0"/>
    <s v="Nagpur"/>
    <x v="6"/>
    <x v="27"/>
    <n v="1"/>
    <n v="8678.32"/>
    <n v="0.17"/>
    <x v="265"/>
    <x v="265"/>
    <n v="33.35"/>
    <s v="UPI"/>
    <n v="5"/>
    <b v="0"/>
    <x v="1"/>
    <n v="4"/>
    <m/>
    <s v="Mid Age"/>
  </r>
  <r>
    <s v="ORD-01212"/>
    <d v="2021-07-01T00:00:00"/>
    <s v="CUST22983"/>
    <s v="Deepa Kapoor"/>
    <n v="40"/>
    <x v="0"/>
    <x v="4"/>
    <s v="Bangalore"/>
    <x v="4"/>
    <x v="6"/>
    <n v="2"/>
    <n v="738.48"/>
    <n v="0.09"/>
    <x v="266"/>
    <x v="266"/>
    <n v="67.67"/>
    <s v="Net Banking"/>
    <s v="N/A"/>
    <b v="0"/>
    <x v="1"/>
    <n v="7"/>
    <m/>
    <s v="Mid Age"/>
  </r>
  <r>
    <s v="ORD-00170"/>
    <d v="2020-03-15T00:00:00"/>
    <s v="CUST53622"/>
    <s v="Aditya Chatterjee"/>
    <n v="31"/>
    <x v="1"/>
    <x v="4"/>
    <s v="Bangalore"/>
    <x v="0"/>
    <x v="0"/>
    <n v="9"/>
    <n v="236.54"/>
    <n v="0.19"/>
    <x v="267"/>
    <x v="267"/>
    <n v="101.07"/>
    <s v="Credit Card"/>
    <n v="3"/>
    <b v="1"/>
    <x v="0"/>
    <n v="1"/>
    <m/>
    <s v="Mid Age"/>
  </r>
  <r>
    <s v="ORD-01213"/>
    <d v="2021-07-01T00:00:00"/>
    <s v="CUST54226"/>
    <s v="Nisha Mehta"/>
    <n v="33"/>
    <x v="1"/>
    <x v="3"/>
    <s v="Bhubaneswar"/>
    <x v="1"/>
    <x v="10"/>
    <n v="5"/>
    <n v="1998.43"/>
    <n v="0.26"/>
    <x v="268"/>
    <x v="268"/>
    <n v="79.62"/>
    <s v="UPI"/>
    <n v="4"/>
    <b v="0"/>
    <x v="4"/>
    <n v="3"/>
    <m/>
    <s v="Mid Age"/>
  </r>
  <r>
    <s v="ORD-04115"/>
    <d v="2024-11-25T00:00:00"/>
    <s v="CUST88970"/>
    <s v="Ritu Pillai"/>
    <n v="38"/>
    <x v="0"/>
    <x v="3"/>
    <s v="Patna"/>
    <x v="5"/>
    <x v="33"/>
    <n v="9"/>
    <n v="76064.53"/>
    <n v="0.25"/>
    <x v="269"/>
    <x v="269"/>
    <n v="79.709999999999994"/>
    <s v="Cash on Delivery"/>
    <n v="3"/>
    <b v="0"/>
    <x v="1"/>
    <n v="1"/>
    <m/>
    <s v="Mid Age"/>
  </r>
  <r>
    <s v="ORD-03200"/>
    <d v="2023-10-16T00:00:00"/>
    <s v="CUST43688"/>
    <s v="Amit Iyer"/>
    <n v="49"/>
    <x v="0"/>
    <x v="2"/>
    <s v="Delhi"/>
    <x v="0"/>
    <x v="35"/>
    <n v="1"/>
    <n v="97.17"/>
    <n v="0.14000000000000001"/>
    <x v="270"/>
    <x v="270"/>
    <n v="46.49"/>
    <s v="EMI"/>
    <n v="1"/>
    <b v="0"/>
    <x v="1"/>
    <n v="5"/>
    <m/>
    <s v="Old Age"/>
  </r>
  <r>
    <s v="ORD-00713"/>
    <d v="2020-11-22T00:00:00"/>
    <s v="CUST97013"/>
    <s v="Rahul Verma"/>
    <n v="48"/>
    <x v="0"/>
    <x v="0"/>
    <s v="Raipur"/>
    <x v="0"/>
    <x v="4"/>
    <n v="9"/>
    <n v="407.45"/>
    <n v="0.36"/>
    <x v="271"/>
    <x v="271"/>
    <n v="50.13"/>
    <s v="Net Banking"/>
    <n v="1"/>
    <b v="1"/>
    <x v="0"/>
    <n v="8"/>
    <m/>
    <s v="Old Age"/>
  </r>
  <r>
    <s v="ORD-00975"/>
    <d v="2021-03-20T00:00:00"/>
    <s v="CUST76263"/>
    <s v="Arjun Reddy"/>
    <n v="20"/>
    <x v="1"/>
    <x v="1"/>
    <s v="Surat"/>
    <x v="2"/>
    <x v="2"/>
    <n v="6"/>
    <n v="5299.05"/>
    <n v="0.13"/>
    <x v="272"/>
    <x v="272"/>
    <n v="36.549999999999997"/>
    <s v="Cash on Delivery"/>
    <n v="4"/>
    <b v="0"/>
    <x v="1"/>
    <n v="7"/>
    <m/>
    <s v="Young Age"/>
  </r>
  <r>
    <s v="ORD-01391"/>
    <d v="2021-09-20T00:00:00"/>
    <s v="CUST53724"/>
    <s v="Kavya Iyer"/>
    <n v="45"/>
    <x v="0"/>
    <x v="3"/>
    <s v="Bhubaneswar"/>
    <x v="0"/>
    <x v="9"/>
    <n v="8"/>
    <n v="126.77"/>
    <n v="0.15"/>
    <x v="273"/>
    <x v="273"/>
    <n v="64.290000000000006"/>
    <s v="Net Banking"/>
    <n v="4"/>
    <b v="0"/>
    <x v="4"/>
    <n v="2"/>
    <m/>
    <s v="Old Age"/>
  </r>
  <r>
    <s v="ORD-02467"/>
    <d v="2022-12-06T00:00:00"/>
    <s v="CUST34028"/>
    <s v="Vikram Rao"/>
    <n v="14"/>
    <x v="2"/>
    <x v="3"/>
    <s v="Guwahati"/>
    <x v="5"/>
    <x v="39"/>
    <n v="1"/>
    <n v="7708.68"/>
    <n v="0.26"/>
    <x v="274"/>
    <x v="274"/>
    <n v="101.65"/>
    <s v="EMI"/>
    <n v="2"/>
    <b v="0"/>
    <x v="4"/>
    <n v="6"/>
    <m/>
    <s v="Young Age"/>
  </r>
  <r>
    <s v="ORD-02390"/>
    <d v="2022-11-01T00:00:00"/>
    <s v="CUST38274"/>
    <s v="Ananya Shah"/>
    <n v="27"/>
    <x v="2"/>
    <x v="1"/>
    <s v="Pune"/>
    <x v="1"/>
    <x v="10"/>
    <n v="6"/>
    <n v="835.52"/>
    <n v="0.01"/>
    <x v="275"/>
    <x v="275"/>
    <n v="54.35"/>
    <s v="Cash on Delivery"/>
    <s v="N/A"/>
    <b v="0"/>
    <x v="1"/>
    <n v="2"/>
    <m/>
    <s v="Mid Age"/>
  </r>
  <r>
    <s v="ORD-01111"/>
    <d v="2021-05-16T00:00:00"/>
    <s v="CUST07335"/>
    <s v="Vikram Kapoor"/>
    <n v="21"/>
    <x v="1"/>
    <x v="3"/>
    <s v="Guwahati"/>
    <x v="6"/>
    <x v="22"/>
    <n v="6"/>
    <n v="3857.03"/>
    <n v="0.3"/>
    <x v="276"/>
    <x v="276"/>
    <n v="60.48"/>
    <s v="Cash on Delivery"/>
    <n v="2"/>
    <b v="0"/>
    <x v="1"/>
    <n v="4"/>
    <m/>
    <s v="Young Age"/>
  </r>
  <r>
    <s v="ORD-02171"/>
    <d v="2022-08-09T00:00:00"/>
    <s v="CUST77492"/>
    <s v="Karan Sharma"/>
    <n v="33"/>
    <x v="1"/>
    <x v="4"/>
    <s v="Chennai"/>
    <x v="4"/>
    <x v="6"/>
    <n v="1"/>
    <n v="1170.22"/>
    <n v="0.37"/>
    <x v="277"/>
    <x v="277"/>
    <n v="82.03"/>
    <s v="Debit Card"/>
    <n v="4"/>
    <b v="0"/>
    <x v="1"/>
    <n v="2"/>
    <m/>
    <s v="Mid Age"/>
  </r>
  <r>
    <s v="ORD-01824"/>
    <d v="2022-03-16T00:00:00"/>
    <s v="CUST58449"/>
    <s v="Priya Chatterjee"/>
    <s v="N/A"/>
    <x v="2"/>
    <x v="2"/>
    <s v="Delhi"/>
    <x v="4"/>
    <x v="26"/>
    <n v="5"/>
    <n v="2505.4"/>
    <n v="0.11"/>
    <x v="278"/>
    <x v="278"/>
    <n v="57.65"/>
    <s v="Cash on Delivery"/>
    <s v="N/A"/>
    <b v="0"/>
    <x v="1"/>
    <n v="1"/>
    <m/>
    <s v="Old Age"/>
  </r>
  <r>
    <s v="ORD-02834"/>
    <d v="2023-05-18T00:00:00"/>
    <s v="CUST80957"/>
    <s v="Pooja Gupta"/>
    <n v="31"/>
    <x v="0"/>
    <x v="2"/>
    <s v="Delhi"/>
    <x v="5"/>
    <x v="39"/>
    <n v="2"/>
    <n v="73267.64"/>
    <n v="0.32"/>
    <x v="279"/>
    <x v="279"/>
    <n v="69.989999999999995"/>
    <s v="Credit Card"/>
    <n v="2"/>
    <b v="0"/>
    <x v="1"/>
    <n v="6"/>
    <m/>
    <s v="Mid Age"/>
  </r>
  <r>
    <s v="ORD-03900"/>
    <d v="2024-08-14T00:00:00"/>
    <s v="CUST14119"/>
    <s v="Vikram Verma"/>
    <n v="39"/>
    <x v="2"/>
    <x v="1"/>
    <s v="Mumbai"/>
    <x v="3"/>
    <x v="30"/>
    <n v="3"/>
    <n v="705.21"/>
    <n v="0.14000000000000001"/>
    <x v="280"/>
    <x v="280"/>
    <n v="76.63"/>
    <s v="EMI"/>
    <n v="1"/>
    <b v="0"/>
    <x v="1"/>
    <n v="8"/>
    <m/>
    <s v="Mid Age"/>
  </r>
  <r>
    <s v="ORD-02550"/>
    <d v="2023-01-12T00:00:00"/>
    <s v="CUST69130"/>
    <s v="Sunita Pillai"/>
    <n v="48"/>
    <x v="0"/>
    <x v="2"/>
    <s v="Amritsar"/>
    <x v="6"/>
    <x v="38"/>
    <n v="6"/>
    <n v="13916.75"/>
    <n v="0.25"/>
    <x v="281"/>
    <x v="281"/>
    <n v="38.89"/>
    <s v="UPI"/>
    <n v="4"/>
    <b v="0"/>
    <x v="2"/>
    <s v="N/A"/>
    <m/>
    <s v="Old Age"/>
  </r>
  <r>
    <s v="ORD-02192"/>
    <d v="2022-08-15T00:00:00"/>
    <s v="CUST61790"/>
    <s v="Amit Kumar"/>
    <n v="32"/>
    <x v="0"/>
    <x v="3"/>
    <s v="Kolkata"/>
    <x v="2"/>
    <x v="2"/>
    <n v="3"/>
    <n v="23445.9"/>
    <n v="0.31"/>
    <x v="282"/>
    <x v="282"/>
    <n v="54.92"/>
    <s v="Credit Card"/>
    <n v="1"/>
    <b v="1"/>
    <x v="0"/>
    <n v="7"/>
    <m/>
    <s v="Mid Age"/>
  </r>
  <r>
    <s v="ORD-02000"/>
    <d v="2022-06-02T00:00:00"/>
    <s v="CUST60137"/>
    <s v="Sanjay Sharma"/>
    <n v="35"/>
    <x v="2"/>
    <x v="3"/>
    <s v="Patna"/>
    <x v="6"/>
    <x v="22"/>
    <n v="6"/>
    <n v="6661.26"/>
    <n v="0.13"/>
    <x v="283"/>
    <x v="283"/>
    <n v="99.9"/>
    <s v="Cash on Delivery"/>
    <n v="2"/>
    <b v="0"/>
    <x v="1"/>
    <n v="8"/>
    <m/>
    <s v="Mid Age"/>
  </r>
  <r>
    <s v="ORD-03042"/>
    <d v="2023-08-09T00:00:00"/>
    <s v="CUST48817"/>
    <s v="Karan Singh"/>
    <n v="25"/>
    <x v="1"/>
    <x v="2"/>
    <s v="Amritsar"/>
    <x v="4"/>
    <x v="6"/>
    <n v="2"/>
    <n v="3266.34"/>
    <n v="0"/>
    <x v="284"/>
    <x v="284"/>
    <n v="51.58"/>
    <s v="Cash on Delivery"/>
    <n v="5"/>
    <b v="0"/>
    <x v="1"/>
    <n v="1"/>
    <m/>
    <s v="Young Age"/>
  </r>
  <r>
    <s v="ORD-03399"/>
    <d v="2024-01-12T00:00:00"/>
    <s v="CUST76705"/>
    <s v="Meera Das"/>
    <n v="42"/>
    <x v="1"/>
    <x v="4"/>
    <s v="Chennai"/>
    <x v="1"/>
    <x v="1"/>
    <n v="1"/>
    <n v="2339.83"/>
    <n v="0.03"/>
    <x v="285"/>
    <x v="285"/>
    <n v="88.12"/>
    <s v="Net Banking"/>
    <n v="3"/>
    <b v="0"/>
    <x v="1"/>
    <n v="10"/>
    <m/>
    <s v="Old Age"/>
  </r>
  <r>
    <s v="ORD-01991"/>
    <d v="2022-05-30T00:00:00"/>
    <s v="CUST25027"/>
    <s v="Nisha Mishra"/>
    <n v="24"/>
    <x v="2"/>
    <x v="3"/>
    <s v="Bhubaneswar"/>
    <x v="1"/>
    <x v="23"/>
    <n v="8"/>
    <n v="1075.32"/>
    <n v="0.25"/>
    <x v="286"/>
    <x v="286"/>
    <n v="101.65"/>
    <s v="Credit Card"/>
    <n v="1"/>
    <b v="1"/>
    <x v="0"/>
    <n v="8"/>
    <m/>
    <s v="Young Age"/>
  </r>
  <r>
    <s v="ORD-00322"/>
    <d v="2020-05-21T00:00:00"/>
    <s v="CUST34894"/>
    <s v="Ritu Mehta"/>
    <n v="32"/>
    <x v="0"/>
    <x v="3"/>
    <s v="Guwahati"/>
    <x v="5"/>
    <x v="33"/>
    <m/>
    <n v="59036.18"/>
    <n v="0.38"/>
    <x v="287"/>
    <x v="287"/>
    <n v="67"/>
    <s v="Net Banking"/>
    <n v="4"/>
    <b v="0"/>
    <x v="1"/>
    <n v="3"/>
    <m/>
    <s v="Mid Age"/>
  </r>
  <r>
    <s v="ORD-04049"/>
    <d v="2024-10-23T00:00:00"/>
    <s v="CUST98496"/>
    <s v="Nisha Singh"/>
    <n v="27"/>
    <x v="0"/>
    <x v="0"/>
    <s v="Indore"/>
    <x v="0"/>
    <x v="36"/>
    <n v="8"/>
    <n v="174.02"/>
    <n v="0.14000000000000001"/>
    <x v="288"/>
    <x v="288"/>
    <n v="40.35"/>
    <s v="Cash on Delivery"/>
    <n v="5"/>
    <b v="0"/>
    <x v="1"/>
    <n v="10"/>
    <m/>
    <s v="Mid Age"/>
  </r>
  <r>
    <s v="ORD-02187"/>
    <d v="2022-08-14T00:00:00"/>
    <s v="CUST47298"/>
    <s v="Shreya Gupta"/>
    <n v="36"/>
    <x v="0"/>
    <x v="2"/>
    <s v="Amritsar"/>
    <x v="3"/>
    <x v="19"/>
    <n v="1"/>
    <n v="1129.04"/>
    <n v="0.28000000000000003"/>
    <x v="289"/>
    <x v="289"/>
    <n v="40.43"/>
    <s v="Net Banking"/>
    <n v="1"/>
    <b v="1"/>
    <x v="0"/>
    <n v="10"/>
    <m/>
    <s v="Mid Age"/>
  </r>
  <r>
    <s v="ORD-03703"/>
    <d v="2024-05-27T00:00:00"/>
    <s v="CUST91203"/>
    <s v="Arjun Verma"/>
    <n v="32"/>
    <x v="0"/>
    <x v="1"/>
    <s v="Mumbai"/>
    <x v="1"/>
    <x v="1"/>
    <n v="4"/>
    <n v="722.47"/>
    <n v="0.19"/>
    <x v="290"/>
    <x v="290"/>
    <n v="71.989999999999995"/>
    <s v="EMI"/>
    <n v="1"/>
    <b v="0"/>
    <x v="3"/>
    <n v="7"/>
    <m/>
    <s v="Mid Age"/>
  </r>
  <r>
    <s v="ORD-01312"/>
    <d v="2021-08-12T00:00:00"/>
    <s v="CUST22985"/>
    <s v="Amit Pillai"/>
    <n v="22"/>
    <x v="1"/>
    <x v="2"/>
    <s v="Delhi"/>
    <x v="1"/>
    <x v="1"/>
    <n v="2"/>
    <n v="542.62"/>
    <n v="0.14000000000000001"/>
    <x v="291"/>
    <x v="291"/>
    <n v="61.76"/>
    <s v="UPI"/>
    <n v="4"/>
    <b v="0"/>
    <x v="1"/>
    <n v="3"/>
    <m/>
    <s v="Young Age"/>
  </r>
  <r>
    <s v="ORD-00797"/>
    <d v="2020-12-29T00:00:00"/>
    <s v="CUST04732"/>
    <s v="Nisha Joshi"/>
    <n v="38"/>
    <x v="1"/>
    <x v="4"/>
    <s v="Chennai"/>
    <x v="1"/>
    <x v="29"/>
    <n v="4"/>
    <n v="197.52"/>
    <n v="0.35"/>
    <x v="292"/>
    <x v="292"/>
    <n v="61.28"/>
    <s v="EMI"/>
    <n v="3"/>
    <b v="0"/>
    <x v="1"/>
    <n v="2"/>
    <m/>
    <s v="Mid Age"/>
  </r>
  <r>
    <s v="ORD-00034"/>
    <d v="2020-01-12T00:00:00"/>
    <s v="CUST21613"/>
    <s v="Arjun Das"/>
    <n v="49"/>
    <x v="0"/>
    <x v="1"/>
    <s v="Mumbai"/>
    <x v="0"/>
    <x v="36"/>
    <n v="0"/>
    <n v="315.85000000000002"/>
    <n v="0.13"/>
    <x v="293"/>
    <x v="293"/>
    <n v="60.46"/>
    <s v="Cash on Delivery"/>
    <n v="5"/>
    <b v="0"/>
    <x v="1"/>
    <n v="10"/>
    <m/>
    <s v="Old Age"/>
  </r>
  <r>
    <s v="ORD-02663"/>
    <d v="2023-02-27T00:00:00"/>
    <s v="CUST82371"/>
    <s v="Kavya Nair"/>
    <n v="49"/>
    <x v="1"/>
    <x v="3"/>
    <s v="Patna"/>
    <x v="0"/>
    <x v="9"/>
    <n v="4"/>
    <n v="230.58"/>
    <n v="0.17"/>
    <x v="294"/>
    <x v="294"/>
    <n v="81.52"/>
    <s v="UPI"/>
    <n v="1"/>
    <b v="0"/>
    <x v="1"/>
    <n v="1"/>
    <m/>
    <s v="Old Age"/>
  </r>
  <r>
    <s v="ORD-01907"/>
    <d v="2022-04-23T00:00:00"/>
    <s v="CUST58083"/>
    <s v="Sanjay Kapoor"/>
    <n v="31"/>
    <x v="1"/>
    <x v="0"/>
    <s v="Raipur"/>
    <x v="6"/>
    <x v="22"/>
    <n v="6"/>
    <n v="12397.94"/>
    <n v="0.35"/>
    <x v="295"/>
    <x v="295"/>
    <n v="51.27"/>
    <s v="UPI"/>
    <n v="2"/>
    <b v="0"/>
    <x v="1"/>
    <n v="1"/>
    <m/>
    <s v="Mid Age"/>
  </r>
  <r>
    <s v="ORD-00766"/>
    <d v="2020-12-13T00:00:00"/>
    <s v="CUST94306"/>
    <s v="Shreya Kapoor"/>
    <n v="19"/>
    <x v="2"/>
    <x v="2"/>
    <s v="Amritsar"/>
    <x v="3"/>
    <x v="30"/>
    <n v="6"/>
    <n v="526.32000000000005"/>
    <n v="0.14000000000000001"/>
    <x v="296"/>
    <x v="296"/>
    <n v="49.68"/>
    <s v="Credit Card"/>
    <n v="3"/>
    <b v="1"/>
    <x v="0"/>
    <n v="3"/>
    <m/>
    <s v="Young Age"/>
  </r>
  <r>
    <s v="ORD-03824"/>
    <d v="2024-07-21T00:00:00"/>
    <s v="CUST13500"/>
    <s v="Amit Patel"/>
    <n v="26"/>
    <x v="0"/>
    <x v="2"/>
    <s v="Chandigarh"/>
    <x v="0"/>
    <x v="36"/>
    <n v="6"/>
    <n v="112.85"/>
    <n v="0.13"/>
    <x v="297"/>
    <x v="297"/>
    <n v="40.89"/>
    <s v="Cash on Delivery"/>
    <n v="5"/>
    <b v="1"/>
    <x v="0"/>
    <n v="8"/>
    <m/>
    <s v="Mid Age"/>
  </r>
  <r>
    <s v="ORD-03029"/>
    <d v="2023-08-04T00:00:00"/>
    <s v="CUST15879"/>
    <s v="Kavya Pillai"/>
    <n v="24"/>
    <x v="0"/>
    <x v="2"/>
    <s v="Delhi"/>
    <x v="0"/>
    <x v="36"/>
    <n v="6"/>
    <n v="184.04"/>
    <n v="0.32"/>
    <x v="298"/>
    <x v="298"/>
    <n v="70.55"/>
    <s v="Credit Card"/>
    <n v="5"/>
    <b v="0"/>
    <x v="1"/>
    <n v="1"/>
    <m/>
    <s v="Young Age"/>
  </r>
  <r>
    <s v="ORD-02801"/>
    <d v="2023-04-29T00:00:00"/>
    <s v="CUST13741"/>
    <s v="Meera Verma"/>
    <n v="30"/>
    <x v="2"/>
    <x v="3"/>
    <s v="Guwahati"/>
    <x v="1"/>
    <x v="23"/>
    <n v="7"/>
    <n v="1050.3800000000001"/>
    <n v="0.06"/>
    <x v="299"/>
    <x v="299"/>
    <n v="85.61"/>
    <s v="Debit Card"/>
    <n v="3"/>
    <b v="0"/>
    <x v="1"/>
    <n v="5"/>
    <m/>
    <s v="Mid Age"/>
  </r>
  <r>
    <s v="ORD-03014"/>
    <d v="2023-07-29T00:00:00"/>
    <s v="CUST35539"/>
    <s v="Karan Reddy"/>
    <n v="31"/>
    <x v="2"/>
    <x v="4"/>
    <s v="Kochi"/>
    <x v="6"/>
    <x v="18"/>
    <m/>
    <n v="8903.5499999999993"/>
    <n v="0.12"/>
    <x v="300"/>
    <x v="300"/>
    <n v="64.95"/>
    <s v="Debit Card"/>
    <s v="N/A"/>
    <b v="1"/>
    <x v="0"/>
    <n v="7"/>
    <m/>
    <s v="Mid Age"/>
  </r>
  <r>
    <s v="ORD-01318"/>
    <d v="2021-08-15T00:00:00"/>
    <s v="CUST59067"/>
    <s v="Nikhil Gupta"/>
    <n v="49"/>
    <x v="1"/>
    <x v="0"/>
    <s v="Raipur"/>
    <x v="1"/>
    <x v="23"/>
    <n v="4"/>
    <n v="525.04999999999995"/>
    <n v="0.02"/>
    <x v="301"/>
    <x v="301"/>
    <n v="71.8"/>
    <s v="EMI"/>
    <n v="5"/>
    <b v="0"/>
    <x v="1"/>
    <n v="1"/>
    <m/>
    <s v="Old Age"/>
  </r>
  <r>
    <s v="ORD-03603"/>
    <d v="2024-04-17T00:00:00"/>
    <s v="CUST16934"/>
    <s v="Nisha Das"/>
    <n v="26"/>
    <x v="0"/>
    <x v="0"/>
    <s v="Indore"/>
    <x v="4"/>
    <x v="26"/>
    <n v="5"/>
    <n v="3541.45"/>
    <n v="0.23"/>
    <x v="302"/>
    <x v="302"/>
    <n v="58"/>
    <s v="Cash on Delivery"/>
    <n v="3"/>
    <b v="0"/>
    <x v="2"/>
    <n v="9"/>
    <m/>
    <s v="Mid Age"/>
  </r>
  <r>
    <s v="ORD-01221"/>
    <d v="2021-07-05T00:00:00"/>
    <s v="CUST24791"/>
    <s v="Arjun Pillai"/>
    <n v="8"/>
    <x v="1"/>
    <x v="3"/>
    <s v="Kolkata"/>
    <x v="4"/>
    <x v="6"/>
    <n v="9"/>
    <n v="1326.38"/>
    <n v="0.16"/>
    <x v="303"/>
    <x v="303"/>
    <n v="58.85"/>
    <s v="Credit Card"/>
    <n v="4"/>
    <b v="0"/>
    <x v="1"/>
    <n v="1"/>
    <m/>
    <s v="Young Age"/>
  </r>
  <r>
    <s v="ORD-02947"/>
    <d v="2023-07-01T00:00:00"/>
    <s v="CUST85761"/>
    <s v="Aditya Chatterjee"/>
    <n v="44"/>
    <x v="0"/>
    <x v="4"/>
    <s v="Kochi"/>
    <x v="2"/>
    <x v="24"/>
    <n v="2"/>
    <n v="26714.83"/>
    <n v="0.23"/>
    <x v="304"/>
    <x v="304"/>
    <n v="67.209999999999994"/>
    <s v="UPI"/>
    <n v="5"/>
    <b v="0"/>
    <x v="1"/>
    <n v="7"/>
    <m/>
    <s v="Old Age"/>
  </r>
  <r>
    <s v="ORD-02635"/>
    <d v="2023-02-15T00:00:00"/>
    <s v="CUST74282"/>
    <s v="Ritu Das"/>
    <n v="47"/>
    <x v="1"/>
    <x v="4"/>
    <s v="Hyderabad"/>
    <x v="1"/>
    <x v="37"/>
    <n v="9"/>
    <n v="1698.6"/>
    <n v="0.25"/>
    <x v="305"/>
    <x v="305"/>
    <n v="63.7"/>
    <s v="EMI"/>
    <s v="N/A"/>
    <b v="0"/>
    <x v="1"/>
    <n v="1"/>
    <m/>
    <s v="Old Age"/>
  </r>
  <r>
    <s v="ORD-02030"/>
    <d v="2022-06-14T00:00:00"/>
    <s v="CUST98295"/>
    <s v="Ritu Rao"/>
    <n v="17"/>
    <x v="1"/>
    <x v="1"/>
    <s v="Pune"/>
    <x v="6"/>
    <x v="20"/>
    <n v="1"/>
    <n v="13827.19"/>
    <n v="0.4"/>
    <x v="306"/>
    <x v="306"/>
    <n v="24.48"/>
    <s v="Net Banking"/>
    <n v="3"/>
    <b v="0"/>
    <x v="3"/>
    <n v="3"/>
    <m/>
    <s v="Young Age"/>
  </r>
  <r>
    <s v="ORD-02150"/>
    <d v="2022-08-01T00:00:00"/>
    <s v="CUST80481"/>
    <s v="Sanjay Mishra"/>
    <n v="53"/>
    <x v="2"/>
    <x v="1"/>
    <s v="Surat"/>
    <x v="1"/>
    <x v="1"/>
    <n v="4"/>
    <n v="356.27"/>
    <n v="0.25"/>
    <x v="307"/>
    <x v="307"/>
    <n v="38.090000000000003"/>
    <s v="Net Banking"/>
    <n v="5"/>
    <b v="0"/>
    <x v="1"/>
    <n v="5"/>
    <m/>
    <s v="Old Age"/>
  </r>
  <r>
    <s v="ORD-01826"/>
    <d v="2022-03-17T00:00:00"/>
    <s v="CUST42492"/>
    <s v="Nikhil Bose"/>
    <n v="26"/>
    <x v="1"/>
    <x v="4"/>
    <s v="Bangalore"/>
    <x v="1"/>
    <x v="1"/>
    <n v="2"/>
    <n v="563.96"/>
    <n v="0"/>
    <x v="308"/>
    <x v="308"/>
    <n v="100.92"/>
    <s v="Cash on Delivery"/>
    <n v="4"/>
    <b v="0"/>
    <x v="1"/>
    <n v="1"/>
    <m/>
    <s v="Mid Age"/>
  </r>
  <r>
    <s v="ORD-03667"/>
    <d v="2024-05-13T00:00:00"/>
    <s v="CUST95748"/>
    <s v="Arjun Kapoor"/>
    <n v="61"/>
    <x v="2"/>
    <x v="3"/>
    <s v="Kolkata"/>
    <x v="5"/>
    <x v="15"/>
    <n v="1"/>
    <n v="42744.12"/>
    <n v="0.28999999999999998"/>
    <x v="309"/>
    <x v="309"/>
    <n v="81.41"/>
    <s v="Debit Card"/>
    <n v="4"/>
    <b v="0"/>
    <x v="1"/>
    <n v="8"/>
    <m/>
    <s v="Old Age"/>
  </r>
  <r>
    <s v="ORD-03993"/>
    <d v="2024-09-20T00:00:00"/>
    <s v="CUST65197"/>
    <s v="Rohan Chatterjee"/>
    <n v="38"/>
    <x v="2"/>
    <x v="4"/>
    <s v="Chennai"/>
    <x v="3"/>
    <x v="30"/>
    <n v="9"/>
    <n v="816.41"/>
    <n v="0.35"/>
    <x v="310"/>
    <x v="310"/>
    <n v="42.16"/>
    <s v="UPI"/>
    <n v="2"/>
    <b v="0"/>
    <x v="1"/>
    <n v="5"/>
    <m/>
    <s v="Mid Age"/>
  </r>
  <r>
    <s v="ORD-02332"/>
    <d v="2022-10-09T00:00:00"/>
    <s v="CUST15721"/>
    <s v="Sunita Kumar"/>
    <n v="32"/>
    <x v="2"/>
    <x v="1"/>
    <s v="Ahmedabad"/>
    <x v="0"/>
    <x v="36"/>
    <n v="10"/>
    <n v="364.93"/>
    <n v="7.0000000000000007E-2"/>
    <x v="311"/>
    <x v="311"/>
    <n v="52.13"/>
    <s v="UPI"/>
    <s v="N/A"/>
    <b v="0"/>
    <x v="2"/>
    <n v="3"/>
    <m/>
    <s v="Mid Age"/>
  </r>
  <r>
    <s v="ORD-02774"/>
    <d v="2023-04-16T00:00:00"/>
    <s v="CUST92472"/>
    <s v="Deepa Gupta"/>
    <n v="33"/>
    <x v="1"/>
    <x v="3"/>
    <s v="Patna"/>
    <x v="6"/>
    <x v="18"/>
    <n v="7"/>
    <n v="12799.72"/>
    <n v="0.11"/>
    <x v="312"/>
    <x v="312"/>
    <n v="74.55"/>
    <s v="Net Banking"/>
    <n v="2"/>
    <b v="0"/>
    <x v="1"/>
    <n v="2"/>
    <m/>
    <s v="Mid Age"/>
  </r>
  <r>
    <s v="ORD-03017"/>
    <d v="2023-07-30T00:00:00"/>
    <s v="CUST11433"/>
    <s v="Aditya Shah"/>
    <n v="49"/>
    <x v="0"/>
    <x v="2"/>
    <s v="Chandigarh"/>
    <x v="0"/>
    <x v="9"/>
    <m/>
    <n v="380.49"/>
    <n v="0.36"/>
    <x v="313"/>
    <x v="313"/>
    <n v="27.57"/>
    <s v="EMI"/>
    <n v="5"/>
    <b v="0"/>
    <x v="1"/>
    <n v="1"/>
    <m/>
    <s v="Old Age"/>
  </r>
  <r>
    <s v="ORD-01712"/>
    <d v="2022-02-01T00:00:00"/>
    <s v="CUST49015"/>
    <s v="Pooja Iyer"/>
    <n v="31"/>
    <x v="1"/>
    <x v="0"/>
    <s v="Indore"/>
    <x v="1"/>
    <x v="29"/>
    <m/>
    <n v="1868.65"/>
    <n v="0.06"/>
    <x v="314"/>
    <x v="314"/>
    <n v="71.239999999999995"/>
    <s v="UPI"/>
    <n v="4"/>
    <b v="0"/>
    <x v="1"/>
    <n v="2"/>
    <m/>
    <s v="Mid Age"/>
  </r>
  <r>
    <s v="ORD-00337"/>
    <d v="2020-05-26T00:00:00"/>
    <s v="CUST25152"/>
    <s v="Shreya Mishra"/>
    <n v="61"/>
    <x v="2"/>
    <x v="1"/>
    <s v="Ahmedabad"/>
    <x v="3"/>
    <x v="11"/>
    <n v="2"/>
    <n v="425.83"/>
    <n v="0.04"/>
    <x v="315"/>
    <x v="315"/>
    <n v="42.68"/>
    <s v="UPI"/>
    <n v="4"/>
    <b v="0"/>
    <x v="1"/>
    <n v="10"/>
    <m/>
    <s v="Old Age"/>
  </r>
  <r>
    <s v="ORD-03207"/>
    <d v="2023-10-19T00:00:00"/>
    <s v="CUST72297"/>
    <s v="Nisha Bhat"/>
    <n v="53"/>
    <x v="2"/>
    <x v="4"/>
    <s v="Bangalore"/>
    <x v="2"/>
    <x v="3"/>
    <n v="5"/>
    <n v="2374.77"/>
    <n v="0.28000000000000003"/>
    <x v="316"/>
    <x v="316"/>
    <n v="83.81"/>
    <s v="UPI"/>
    <n v="1"/>
    <b v="0"/>
    <x v="1"/>
    <n v="6"/>
    <m/>
    <s v="Old Age"/>
  </r>
  <r>
    <s v="ORD-00354"/>
    <d v="2020-06-01T00:00:00"/>
    <s v="CUST12677"/>
    <s v="Aditya Shah"/>
    <n v="41"/>
    <x v="0"/>
    <x v="2"/>
    <s v="Chandigarh"/>
    <x v="0"/>
    <x v="34"/>
    <n v="8"/>
    <n v="294.27"/>
    <n v="0.35"/>
    <x v="317"/>
    <x v="317"/>
    <n v="53.97"/>
    <s v="Cash on Delivery"/>
    <n v="1"/>
    <b v="0"/>
    <x v="1"/>
    <n v="5"/>
    <m/>
    <s v="Old Age"/>
  </r>
  <r>
    <s v="ORD-00837"/>
    <d v="2021-01-18T00:00:00"/>
    <s v="CUST71096"/>
    <s v="Kavya Shah"/>
    <n v="29"/>
    <x v="0"/>
    <x v="3"/>
    <s v="Patna"/>
    <x v="5"/>
    <x v="17"/>
    <n v="5"/>
    <n v="58480.23"/>
    <n v="0.09"/>
    <x v="318"/>
    <x v="318"/>
    <n v="84.38"/>
    <s v="Credit Card"/>
    <n v="4"/>
    <b v="0"/>
    <x v="1"/>
    <n v="2"/>
    <m/>
    <s v="Mid Age"/>
  </r>
  <r>
    <s v="ORD-02607"/>
    <d v="2023-02-06T00:00:00"/>
    <s v="CUST31900"/>
    <s v="Amit Rao"/>
    <n v="39"/>
    <x v="0"/>
    <x v="4"/>
    <s v="Bangalore"/>
    <x v="6"/>
    <x v="38"/>
    <n v="8"/>
    <n v="5590.43"/>
    <n v="0.19"/>
    <x v="319"/>
    <x v="319"/>
    <n v="69.42"/>
    <s v="Credit Card"/>
    <n v="4"/>
    <b v="0"/>
    <x v="1"/>
    <n v="2"/>
    <m/>
    <s v="Mid Age"/>
  </r>
  <r>
    <s v="ORD-00727"/>
    <d v="2020-11-29T00:00:00"/>
    <s v="CUST39869"/>
    <s v="Ritu Mishra"/>
    <n v="29"/>
    <x v="2"/>
    <x v="1"/>
    <s v="Mumbai"/>
    <x v="5"/>
    <x v="33"/>
    <n v="4"/>
    <n v="7981.68"/>
    <n v="0.38"/>
    <x v="320"/>
    <x v="320"/>
    <n v="40.049999999999997"/>
    <s v="Debit Card"/>
    <n v="4"/>
    <b v="0"/>
    <x v="1"/>
    <n v="5"/>
    <m/>
    <s v="Mid Age"/>
  </r>
  <r>
    <s v="ORD-02529"/>
    <d v="2023-01-03T00:00:00"/>
    <s v="CUST61216"/>
    <s v="Nikhil Joshi"/>
    <n v="34"/>
    <x v="1"/>
    <x v="1"/>
    <s v="Pune"/>
    <x v="2"/>
    <x v="3"/>
    <n v="2"/>
    <n v="9783.06"/>
    <n v="0.12"/>
    <x v="321"/>
    <x v="321"/>
    <n v="43.71"/>
    <s v="Cash on Delivery"/>
    <n v="2"/>
    <b v="1"/>
    <x v="0"/>
    <n v="5"/>
    <m/>
    <s v="Mid Age"/>
  </r>
  <r>
    <s v="ORD-03018"/>
    <d v="2023-07-30T00:00:00"/>
    <s v="CUST13941"/>
    <s v="Ritu Sharma"/>
    <n v="34"/>
    <x v="0"/>
    <x v="4"/>
    <s v="Hyderabad"/>
    <x v="5"/>
    <x v="25"/>
    <n v="4"/>
    <n v="66643.149999999994"/>
    <n v="0.14000000000000001"/>
    <x v="322"/>
    <x v="322"/>
    <n v="51.43"/>
    <s v="Cash on Delivery"/>
    <n v="1"/>
    <b v="0"/>
    <x v="1"/>
    <n v="3"/>
    <m/>
    <s v="Mid Age"/>
  </r>
  <r>
    <s v="ORD-01841"/>
    <d v="2022-03-26T00:00:00"/>
    <s v="CUST02321"/>
    <s v="Sunita Patel"/>
    <n v="26"/>
    <x v="2"/>
    <x v="1"/>
    <s v="Surat"/>
    <x v="1"/>
    <x v="41"/>
    <n v="10"/>
    <n v="160.57"/>
    <n v="0.38"/>
    <x v="323"/>
    <x v="323"/>
    <n v="51.31"/>
    <s v="Credit Card"/>
    <n v="3"/>
    <b v="0"/>
    <x v="1"/>
    <n v="2"/>
    <m/>
    <s v="Mid Age"/>
  </r>
  <r>
    <s v="ORD-02858"/>
    <s v="28/05/2023"/>
    <s v="CUST34534"/>
    <s v="Sanjay Rao"/>
    <n v="55"/>
    <x v="1"/>
    <x v="0"/>
    <s v="Bhopal"/>
    <x v="6"/>
    <x v="22"/>
    <n v="7"/>
    <n v="12138.63"/>
    <n v="0.13"/>
    <x v="324"/>
    <x v="324"/>
    <n v="32.89"/>
    <s v="UPI"/>
    <n v="5"/>
    <b v="0"/>
    <x v="4"/>
    <n v="4"/>
    <m/>
    <s v="Old Age"/>
  </r>
  <r>
    <s v="ORD-04176"/>
    <d v="2024-12-21T00:00:00"/>
    <s v="CUST37046"/>
    <s v="Rohan Bhat"/>
    <n v="30"/>
    <x v="0"/>
    <x v="1"/>
    <s v="Surat"/>
    <x v="5"/>
    <x v="17"/>
    <n v="6"/>
    <n v="61234.43"/>
    <n v="0.24"/>
    <x v="325"/>
    <x v="325"/>
    <n v="48.82"/>
    <s v="Credit Card"/>
    <s v="N/A"/>
    <b v="0"/>
    <x v="1"/>
    <n v="4"/>
    <m/>
    <s v="Mid Age"/>
  </r>
  <r>
    <s v="ORD-03609"/>
    <d v="2024-04-20T00:00:00"/>
    <s v="CUST45693"/>
    <s v="Aditya Singh"/>
    <n v="45"/>
    <x v="1"/>
    <x v="2"/>
    <s v="Amritsar"/>
    <x v="3"/>
    <x v="19"/>
    <n v="5"/>
    <n v="224.92"/>
    <n v="0.24"/>
    <x v="326"/>
    <x v="326"/>
    <n v="65.16"/>
    <s v="UPI"/>
    <n v="5"/>
    <b v="0"/>
    <x v="1"/>
    <n v="2"/>
    <m/>
    <s v="Old Age"/>
  </r>
  <r>
    <s v="ORD-00559"/>
    <d v="2020-09-05T00:00:00"/>
    <s v="CUST34558"/>
    <s v="Amit Bhat"/>
    <n v="46"/>
    <x v="0"/>
    <x v="1"/>
    <s v="Mumbai"/>
    <x v="4"/>
    <x v="26"/>
    <n v="8"/>
    <n v="2151.16"/>
    <n v="0.12"/>
    <x v="327"/>
    <x v="327"/>
    <n v="67.349999999999994"/>
    <s v="Cash on Delivery"/>
    <n v="4"/>
    <b v="1"/>
    <x v="0"/>
    <n v="4"/>
    <m/>
    <s v="Old Age"/>
  </r>
  <r>
    <s v="ORD-01775"/>
    <d v="2022-02-25T00:00:00"/>
    <s v="CUST42783"/>
    <s v="Ritu Das"/>
    <n v="25"/>
    <x v="0"/>
    <x v="0"/>
    <s v="Indore"/>
    <x v="6"/>
    <x v="27"/>
    <n v="1"/>
    <n v="7835.77"/>
    <n v="0.08"/>
    <x v="328"/>
    <x v="328"/>
    <n v="44.2"/>
    <s v="Credit Card"/>
    <s v="N/A"/>
    <b v="1"/>
    <x v="0"/>
    <n v="-1"/>
    <m/>
    <s v="Young Age"/>
  </r>
  <r>
    <s v="ORD-02870"/>
    <d v="2023-05-31T00:00:00"/>
    <s v="CUST15861"/>
    <s v="Priya Mishra"/>
    <n v="27"/>
    <x v="0"/>
    <x v="1"/>
    <s v="Surat"/>
    <x v="3"/>
    <x v="30"/>
    <n v="2"/>
    <n v="790.19"/>
    <n v="0.12"/>
    <x v="329"/>
    <x v="329"/>
    <n v="75.5"/>
    <s v="UPI"/>
    <n v="2"/>
    <b v="0"/>
    <x v="1"/>
    <n v="1"/>
    <m/>
    <s v="Mid Age"/>
  </r>
  <r>
    <s v="ORD-00130"/>
    <d v="2020-02-20T00:00:00"/>
    <s v="CUST73625"/>
    <s v="Nisha Bose"/>
    <n v="28"/>
    <x v="0"/>
    <x v="3"/>
    <s v="Guwahati"/>
    <x v="3"/>
    <x v="32"/>
    <n v="10"/>
    <n v="327.54000000000002"/>
    <n v="0.15"/>
    <x v="330"/>
    <x v="330"/>
    <n v="80.58"/>
    <s v="Debit Card"/>
    <n v="5"/>
    <b v="1"/>
    <x v="0"/>
    <n v="2"/>
    <m/>
    <s v="Mid Age"/>
  </r>
  <r>
    <s v="ORD-02188"/>
    <d v="2022-08-14T00:00:00"/>
    <s v="CUST93685"/>
    <s v="Vikram Singh"/>
    <n v="19"/>
    <x v="0"/>
    <x v="4"/>
    <s v="Chennai"/>
    <x v="5"/>
    <x v="21"/>
    <n v="10"/>
    <n v="46080.58"/>
    <n v="0.33"/>
    <x v="331"/>
    <x v="331"/>
    <n v="42.13"/>
    <s v="Credit Card"/>
    <n v="1"/>
    <b v="0"/>
    <x v="1"/>
    <n v="7"/>
    <m/>
    <s v="Young Age"/>
  </r>
  <r>
    <s v="ORD-02807"/>
    <d v="2023-05-03T00:00:00"/>
    <s v="CUST59711"/>
    <s v="Rohan Mishra"/>
    <n v="29"/>
    <x v="2"/>
    <x v="3"/>
    <s v="Bhubaneswar"/>
    <x v="4"/>
    <x v="7"/>
    <n v="10"/>
    <n v="630.78"/>
    <n v="0"/>
    <x v="332"/>
    <x v="332"/>
    <n v="83.61"/>
    <s v="Credit Card"/>
    <n v="4"/>
    <b v="0"/>
    <x v="1"/>
    <n v="8"/>
    <m/>
    <s v="Mid Age"/>
  </r>
  <r>
    <s v="ORD-01201"/>
    <d v="2021-06-25T00:00:00"/>
    <s v="CUST00543"/>
    <s v="Karan Singh"/>
    <s v="N/A"/>
    <x v="1"/>
    <x v="4"/>
    <s v="Kochi"/>
    <x v="6"/>
    <x v="22"/>
    <m/>
    <n v="10501.07"/>
    <n v="0.1"/>
    <x v="333"/>
    <x v="333"/>
    <n v="56.4"/>
    <s v="Cash on Delivery"/>
    <n v="5"/>
    <b v="0"/>
    <x v="1"/>
    <n v="7"/>
    <m/>
    <s v="Old Age"/>
  </r>
  <r>
    <s v="ORD-03976"/>
    <d v="2024-09-10T00:00:00"/>
    <s v="CUST72202"/>
    <s v="Aarav Joshi"/>
    <n v="28"/>
    <x v="1"/>
    <x v="1"/>
    <s v="Ahmedabad"/>
    <x v="5"/>
    <x v="17"/>
    <n v="1"/>
    <n v="40304.61"/>
    <n v="0.04"/>
    <x v="334"/>
    <x v="334"/>
    <n v="73.05"/>
    <s v="UPI"/>
    <n v="2"/>
    <b v="0"/>
    <x v="3"/>
    <n v="5"/>
    <m/>
    <s v="Mid Age"/>
  </r>
  <r>
    <s v="ORD-03674"/>
    <d v="2024-05-15T00:00:00"/>
    <s v="CUST71549"/>
    <s v="Ritu Das"/>
    <n v="37"/>
    <x v="2"/>
    <x v="3"/>
    <s v="Kolkata"/>
    <x v="2"/>
    <x v="13"/>
    <n v="3"/>
    <n v="16806.93"/>
    <n v="0.37"/>
    <x v="335"/>
    <x v="335"/>
    <n v="90.53"/>
    <s v="Credit Card"/>
    <n v="4"/>
    <b v="0"/>
    <x v="1"/>
    <n v="2"/>
    <m/>
    <s v="Mid Age"/>
  </r>
  <r>
    <s v="ORD-00982"/>
    <d v="2021-03-23T00:00:00"/>
    <s v="CUST31894"/>
    <s v="Amit Joshi"/>
    <n v="44"/>
    <x v="0"/>
    <x v="2"/>
    <s v="Ludhiana"/>
    <x v="2"/>
    <x v="28"/>
    <n v="2"/>
    <n v="4143.1000000000004"/>
    <n v="0"/>
    <x v="336"/>
    <x v="336"/>
    <n v="56.97"/>
    <s v="Net Banking"/>
    <n v="5"/>
    <b v="0"/>
    <x v="1"/>
    <n v="5"/>
    <m/>
    <s v="Old Age"/>
  </r>
  <r>
    <s v="ORD-00485"/>
    <d v="2020-08-02T00:00:00"/>
    <s v="CUST67381"/>
    <s v="Amit Mehta"/>
    <n v="46"/>
    <x v="0"/>
    <x v="3"/>
    <s v="Kolkata"/>
    <x v="5"/>
    <x v="21"/>
    <n v="6"/>
    <n v="76471.27"/>
    <n v="0"/>
    <x v="337"/>
    <x v="337"/>
    <n v="71.89"/>
    <s v="Cash on Delivery"/>
    <n v="5"/>
    <b v="0"/>
    <x v="1"/>
    <n v="5"/>
    <m/>
    <s v="Old Age"/>
  </r>
  <r>
    <s v="ORD-03297"/>
    <d v="2023-11-26T00:00:00"/>
    <s v="CUST29713"/>
    <s v="Rahul Gupta"/>
    <n v="37"/>
    <x v="1"/>
    <x v="1"/>
    <s v="Mumbai"/>
    <x v="3"/>
    <x v="11"/>
    <n v="10"/>
    <n v="666.25"/>
    <n v="7.0000000000000007E-2"/>
    <x v="338"/>
    <x v="338"/>
    <n v="55.61"/>
    <s v="UPI"/>
    <n v="3"/>
    <b v="0"/>
    <x v="1"/>
    <n v="8"/>
    <m/>
    <s v="Mid Age"/>
  </r>
  <r>
    <s v="ORD-04137"/>
    <d v="2024-12-04T00:00:00"/>
    <s v="CUST62051"/>
    <s v="Ananya Pillai"/>
    <n v="5"/>
    <x v="0"/>
    <x v="0"/>
    <s v="Bhopal"/>
    <x v="5"/>
    <x v="15"/>
    <n v="4"/>
    <n v="51581.35"/>
    <n v="0.38"/>
    <x v="339"/>
    <x v="339"/>
    <n v="72.66"/>
    <s v="Net Banking"/>
    <n v="4"/>
    <b v="1"/>
    <x v="0"/>
    <n v="8"/>
    <m/>
    <s v="Young Age"/>
  </r>
  <r>
    <s v="ORD-02163"/>
    <d v="2022-08-05T00:00:00"/>
    <s v="CUST72247"/>
    <s v="Arjun Mishra"/>
    <n v="57"/>
    <x v="1"/>
    <x v="3"/>
    <s v="Kolkata"/>
    <x v="5"/>
    <x v="15"/>
    <n v="1"/>
    <n v="67980.929999999993"/>
    <n v="0"/>
    <x v="340"/>
    <x v="340"/>
    <n v="63.26"/>
    <s v="Cash on Delivery"/>
    <n v="4"/>
    <b v="0"/>
    <x v="1"/>
    <n v="9"/>
    <m/>
    <s v="Old Age"/>
  </r>
  <r>
    <s v="ORD-02445"/>
    <d v="2022-11-28T00:00:00"/>
    <s v="CUST71240"/>
    <s v="Pooja Sharma"/>
    <n v="30"/>
    <x v="0"/>
    <x v="2"/>
    <s v="Chandigarh"/>
    <x v="3"/>
    <x v="30"/>
    <n v="5"/>
    <n v="1175.29"/>
    <n v="0.36"/>
    <x v="341"/>
    <x v="341"/>
    <n v="66.209999999999994"/>
    <s v="Net Banking"/>
    <n v="2"/>
    <b v="0"/>
    <x v="1"/>
    <n v="4"/>
    <m/>
    <s v="Mid Age"/>
  </r>
  <r>
    <s v="ORD-00767"/>
    <d v="2020-12-13T00:00:00"/>
    <s v="CUST99682"/>
    <s v="Aditya Mishra"/>
    <n v="17"/>
    <x v="0"/>
    <x v="2"/>
    <s v="Ludhiana"/>
    <x v="2"/>
    <x v="2"/>
    <n v="5"/>
    <n v="30866.799999999999"/>
    <n v="7.0000000000000007E-2"/>
    <x v="342"/>
    <x v="342"/>
    <n v="38.03"/>
    <s v="Debit Card"/>
    <n v="5"/>
    <b v="0"/>
    <x v="1"/>
    <n v="10"/>
    <m/>
    <s v="Young Age"/>
  </r>
  <r>
    <s v="ORD-00629"/>
    <d v="2020-10-09T00:00:00"/>
    <s v="CUST51786"/>
    <s v="Kavya Joshi"/>
    <n v="48"/>
    <x v="1"/>
    <x v="0"/>
    <s v="Bhopal"/>
    <x v="1"/>
    <x v="37"/>
    <n v="9"/>
    <n v="1406.56"/>
    <n v="0.1"/>
    <x v="343"/>
    <x v="343"/>
    <n v="39.94"/>
    <s v="Cash on Delivery"/>
    <s v="N/A"/>
    <b v="0"/>
    <x v="1"/>
    <n v="5"/>
    <m/>
    <s v="Old Age"/>
  </r>
  <r>
    <s v="ORD-00701"/>
    <d v="2020-11-13T00:00:00"/>
    <s v="CUST90688"/>
    <s v="Priya Nair"/>
    <n v="42"/>
    <x v="2"/>
    <x v="3"/>
    <s v="Patna"/>
    <x v="5"/>
    <x v="15"/>
    <n v="6"/>
    <n v="50084.03"/>
    <n v="0.17"/>
    <x v="344"/>
    <x v="344"/>
    <n v="94.58"/>
    <s v="Debit Card"/>
    <n v="4"/>
    <b v="0"/>
    <x v="3"/>
    <n v="6"/>
    <m/>
    <s v="Old Age"/>
  </r>
  <r>
    <s v="ORD-00439"/>
    <d v="2020-07-12T00:00:00"/>
    <s v="CUST45071"/>
    <s v="Aditya Nair"/>
    <n v="22"/>
    <x v="1"/>
    <x v="1"/>
    <s v="Ahmedabad"/>
    <x v="0"/>
    <x v="4"/>
    <n v="2"/>
    <n v="379.2"/>
    <n v="0.2"/>
    <x v="345"/>
    <x v="345"/>
    <n v="67.650000000000006"/>
    <s v="UPI"/>
    <n v="1"/>
    <b v="0"/>
    <x v="1"/>
    <n v="7"/>
    <m/>
    <s v="Young Age"/>
  </r>
  <r>
    <s v="ORD-00132"/>
    <d v="2020-02-20T00:00:00"/>
    <s v="CUST20387"/>
    <s v="Ritu Mishra"/>
    <n v="26"/>
    <x v="2"/>
    <x v="4"/>
    <s v="Kochi"/>
    <x v="1"/>
    <x v="10"/>
    <n v="2"/>
    <n v="959.97"/>
    <n v="0.05"/>
    <x v="346"/>
    <x v="346"/>
    <n v="71.849999999999994"/>
    <s v="EMI"/>
    <n v="4"/>
    <b v="0"/>
    <x v="1"/>
    <n v="2"/>
    <m/>
    <s v="Mid Age"/>
  </r>
  <r>
    <s v="ORD-00343"/>
    <s v="28/05/2020"/>
    <s v="CUST91659"/>
    <s v="Shreya Verma"/>
    <n v="20"/>
    <x v="1"/>
    <x v="0"/>
    <s v="Nagpur"/>
    <x v="4"/>
    <x v="7"/>
    <n v="1"/>
    <n v="1604.88"/>
    <n v="0.22"/>
    <x v="347"/>
    <x v="347"/>
    <n v="71.08"/>
    <s v="Debit Card"/>
    <n v="3"/>
    <b v="1"/>
    <x v="0"/>
    <n v="4"/>
    <m/>
    <s v="Young Age"/>
  </r>
  <r>
    <s v="ORD-02362"/>
    <d v="2022-10-18T00:00:00"/>
    <s v="CUST09796"/>
    <s v="Shreya Mehta"/>
    <n v="2"/>
    <x v="0"/>
    <x v="2"/>
    <s v="Ludhiana"/>
    <x v="4"/>
    <x v="7"/>
    <n v="5"/>
    <n v="3077.69"/>
    <n v="0.12"/>
    <x v="348"/>
    <x v="348"/>
    <n v="55.38"/>
    <s v="UPI"/>
    <n v="3"/>
    <b v="0"/>
    <x v="1"/>
    <n v="8"/>
    <m/>
    <s v="Young Age"/>
  </r>
  <r>
    <s v="ORD-01138"/>
    <d v="2021-05-28T00:00:00"/>
    <s v="CUST65692"/>
    <s v="Aarav Kumar"/>
    <n v="12"/>
    <x v="0"/>
    <x v="0"/>
    <s v="Raipur"/>
    <x v="0"/>
    <x v="35"/>
    <n v="10"/>
    <n v="179.45"/>
    <n v="0.1"/>
    <x v="349"/>
    <x v="349"/>
    <n v="35.54"/>
    <s v="EMI"/>
    <s v="N/A"/>
    <b v="0"/>
    <x v="1"/>
    <n v="7"/>
    <m/>
    <s v="Young Age"/>
  </r>
  <r>
    <s v="ORD-03480"/>
    <d v="2024-02-22T00:00:00"/>
    <s v="CUST61945"/>
    <s v="Vikram Joshi"/>
    <n v="25"/>
    <x v="0"/>
    <x v="1"/>
    <s v="Ahmedabad"/>
    <x v="4"/>
    <x v="12"/>
    <n v="6"/>
    <n v="1277.6600000000001"/>
    <n v="0"/>
    <x v="350"/>
    <x v="350"/>
    <n v="43.17"/>
    <s v="Net Banking"/>
    <n v="1"/>
    <b v="0"/>
    <x v="1"/>
    <n v="10"/>
    <m/>
    <s v="Young Age"/>
  </r>
  <r>
    <s v="ORD-02011"/>
    <d v="2022-06-05T00:00:00"/>
    <s v="CUST67385"/>
    <s v="Kavya Shah"/>
    <n v="52"/>
    <x v="2"/>
    <x v="1"/>
    <s v="Pune"/>
    <x v="6"/>
    <x v="22"/>
    <n v="10"/>
    <n v="6308.82"/>
    <n v="0.36"/>
    <x v="351"/>
    <x v="351"/>
    <n v="63.87"/>
    <s v="Net Banking"/>
    <n v="1"/>
    <b v="1"/>
    <x v="0"/>
    <n v="7"/>
    <m/>
    <s v="Old Age"/>
  </r>
  <r>
    <s v="ORD-03217"/>
    <d v="2023-10-22T00:00:00"/>
    <s v="CUST14537"/>
    <s v="Pooja Joshi"/>
    <n v="41"/>
    <x v="0"/>
    <x v="2"/>
    <s v="Amritsar"/>
    <x v="1"/>
    <x v="23"/>
    <n v="10"/>
    <n v="850.71"/>
    <n v="0.4"/>
    <x v="352"/>
    <x v="352"/>
    <n v="38.04"/>
    <s v="Cash on Delivery"/>
    <n v="4"/>
    <b v="0"/>
    <x v="1"/>
    <n v="6"/>
    <m/>
    <s v="Old Age"/>
  </r>
  <r>
    <s v="ORD-02921"/>
    <d v="2023-06-17T00:00:00"/>
    <s v="CUST51781"/>
    <s v="Karan Singh"/>
    <n v="26"/>
    <x v="1"/>
    <x v="2"/>
    <s v="Delhi"/>
    <x v="0"/>
    <x v="34"/>
    <n v="5"/>
    <n v="200.85"/>
    <n v="0.36"/>
    <x v="353"/>
    <x v="353"/>
    <n v="58.1"/>
    <s v="EMI"/>
    <n v="2"/>
    <b v="0"/>
    <x v="1"/>
    <n v="1"/>
    <m/>
    <s v="Mid Age"/>
  </r>
  <r>
    <s v="ORD-01303"/>
    <d v="2021-08-10T00:00:00"/>
    <s v="CUST71873"/>
    <s v="Aditya Singh"/>
    <n v="35"/>
    <x v="2"/>
    <x v="3"/>
    <s v="Bhubaneswar"/>
    <x v="2"/>
    <x v="2"/>
    <n v="3"/>
    <n v="23823.69"/>
    <n v="0.11"/>
    <x v="354"/>
    <x v="354"/>
    <n v="95.16"/>
    <s v="EMI"/>
    <n v="5"/>
    <b v="0"/>
    <x v="1"/>
    <n v="6"/>
    <m/>
    <s v="Mid Age"/>
  </r>
  <r>
    <s v="ORD-01463"/>
    <d v="2021-10-23T00:00:00"/>
    <s v="CUST80946"/>
    <s v="Nikhil Verma"/>
    <n v="35"/>
    <x v="0"/>
    <x v="1"/>
    <s v="Ahmedabad"/>
    <x v="6"/>
    <x v="20"/>
    <n v="6"/>
    <n v="10030.26"/>
    <n v="0.17"/>
    <x v="355"/>
    <x v="355"/>
    <n v="33.86"/>
    <s v="Net Banking"/>
    <n v="4"/>
    <b v="0"/>
    <x v="1"/>
    <n v="8"/>
    <m/>
    <s v="Mid Age"/>
  </r>
  <r>
    <s v="ORD-02411"/>
    <d v="2022-11-08T00:00:00"/>
    <s v="CUST04556"/>
    <s v="Amit Shah"/>
    <n v="43"/>
    <x v="1"/>
    <x v="3"/>
    <s v="Kolkata"/>
    <x v="5"/>
    <x v="21"/>
    <n v="9"/>
    <n v="33801.96"/>
    <n v="0.4"/>
    <x v="356"/>
    <x v="356"/>
    <n v="95.97"/>
    <s v="Cash on Delivery"/>
    <s v="N/A"/>
    <b v="1"/>
    <x v="0"/>
    <n v="7"/>
    <m/>
    <s v="Old Age"/>
  </r>
  <r>
    <s v="ORD-02048"/>
    <d v="2022-06-20T00:00:00"/>
    <s v="CUST98440"/>
    <s v="Nikhil Nair"/>
    <s v="N/A"/>
    <x v="0"/>
    <x v="4"/>
    <s v="Kochi"/>
    <x v="4"/>
    <x v="6"/>
    <n v="4"/>
    <n v="2288.92"/>
    <n v="0.09"/>
    <x v="357"/>
    <x v="357"/>
    <n v="53.41"/>
    <s v="Cash on Delivery"/>
    <n v="4"/>
    <b v="0"/>
    <x v="4"/>
    <n v="8"/>
    <m/>
    <s v="Old Age"/>
  </r>
  <r>
    <s v="ORD-02047"/>
    <d v="2022-06-20T00:00:00"/>
    <s v="CUST63577"/>
    <s v="Sunita Iyer"/>
    <n v="49"/>
    <x v="1"/>
    <x v="0"/>
    <s v="Indore"/>
    <x v="0"/>
    <x v="36"/>
    <n v="8"/>
    <n v="377.69"/>
    <n v="0.27"/>
    <x v="358"/>
    <x v="358"/>
    <n v="42.69"/>
    <s v="Credit Card"/>
    <n v="1"/>
    <b v="0"/>
    <x v="1"/>
    <n v="4"/>
    <m/>
    <s v="Old Age"/>
  </r>
  <r>
    <s v="ORD-00197"/>
    <d v="2020-03-28T00:00:00"/>
    <s v="CUST04223"/>
    <s v="Pooja Joshi"/>
    <n v="12"/>
    <x v="0"/>
    <x v="2"/>
    <s v="Amritsar"/>
    <x v="6"/>
    <x v="31"/>
    <n v="8"/>
    <n v="10282.68"/>
    <n v="0.11"/>
    <x v="359"/>
    <x v="359"/>
    <n v="65.44"/>
    <s v="Net Banking"/>
    <n v="1"/>
    <b v="0"/>
    <x v="1"/>
    <n v="3"/>
    <m/>
    <s v="Young Age"/>
  </r>
  <r>
    <s v="ORD-01595"/>
    <d v="2021-12-13T00:00:00"/>
    <s v="CUST89482"/>
    <s v="Nisha Chatterjee"/>
    <n v="38"/>
    <x v="1"/>
    <x v="4"/>
    <s v="Kochi"/>
    <x v="3"/>
    <x v="5"/>
    <n v="7"/>
    <n v="233.11"/>
    <n v="0.36"/>
    <x v="360"/>
    <x v="360"/>
    <n v="71.2"/>
    <s v="UPI"/>
    <s v="N/A"/>
    <b v="0"/>
    <x v="1"/>
    <n v="2"/>
    <m/>
    <s v="Mid Age"/>
  </r>
  <r>
    <s v="ORD-00799"/>
    <d v="2020-12-29T00:00:00"/>
    <s v="CUST20881"/>
    <s v="Rohan Singh"/>
    <n v="48"/>
    <x v="1"/>
    <x v="1"/>
    <s v="Mumbai"/>
    <x v="6"/>
    <x v="38"/>
    <n v="4"/>
    <n v="2347.62"/>
    <n v="0.22"/>
    <x v="361"/>
    <x v="361"/>
    <n v="36.229999999999997"/>
    <s v="Debit Card"/>
    <n v="1"/>
    <b v="0"/>
    <x v="1"/>
    <n v="10"/>
    <m/>
    <s v="Old Age"/>
  </r>
  <r>
    <s v="ORD-03920"/>
    <d v="2024-08-20T00:00:00"/>
    <s v="CUST20311"/>
    <s v="Shreya Gupta"/>
    <n v="54"/>
    <x v="0"/>
    <x v="1"/>
    <s v="Surat"/>
    <x v="6"/>
    <x v="18"/>
    <n v="8"/>
    <n v="8802.69"/>
    <n v="0.36"/>
    <x v="362"/>
    <x v="362"/>
    <n v="76.209999999999994"/>
    <s v="Credit Card"/>
    <n v="5"/>
    <b v="0"/>
    <x v="1"/>
    <s v="N/A"/>
    <m/>
    <s v="Old Age"/>
  </r>
  <r>
    <s v="ORD-01013"/>
    <d v="2021-04-03T00:00:00"/>
    <s v="CUST39675"/>
    <s v="Priya Kapoor"/>
    <n v="24"/>
    <x v="0"/>
    <x v="3"/>
    <s v="Bhubaneswar"/>
    <x v="4"/>
    <x v="16"/>
    <n v="8"/>
    <n v="1837.46"/>
    <n v="0.26"/>
    <x v="363"/>
    <x v="363"/>
    <n v="81.400000000000006"/>
    <s v="EMI"/>
    <n v="1"/>
    <b v="0"/>
    <x v="3"/>
    <n v="8"/>
    <m/>
    <s v="Young Age"/>
  </r>
  <r>
    <s v="ORD-02295"/>
    <d v="2022-09-23T00:00:00"/>
    <s v="CUST16205"/>
    <s v="Arjun Kapoor"/>
    <n v="32"/>
    <x v="1"/>
    <x v="3"/>
    <s v="Guwahati"/>
    <x v="6"/>
    <x v="27"/>
    <m/>
    <n v="7290.72"/>
    <n v="0"/>
    <x v="364"/>
    <x v="364"/>
    <n v="59.36"/>
    <s v="EMI"/>
    <n v="5"/>
    <b v="0"/>
    <x v="1"/>
    <n v="2"/>
    <m/>
    <s v="Mid Age"/>
  </r>
  <r>
    <s v="ORD-00267"/>
    <d v="2020-04-27T00:00:00"/>
    <s v="CUST76356"/>
    <s v="Aditya Pillai"/>
    <n v="21"/>
    <x v="2"/>
    <x v="3"/>
    <s v="Kolkata"/>
    <x v="6"/>
    <x v="20"/>
    <n v="6"/>
    <n v="7876.81"/>
    <n v="0.02"/>
    <x v="365"/>
    <x v="365"/>
    <n v="62.09"/>
    <s v="Debit Card"/>
    <n v="4"/>
    <b v="0"/>
    <x v="4"/>
    <n v="3"/>
    <m/>
    <s v="Young Age"/>
  </r>
  <r>
    <s v="ORD-01704"/>
    <d v="2022-01-30T00:00:00"/>
    <s v="CUST33909"/>
    <s v="Amit Reddy"/>
    <n v="28"/>
    <x v="2"/>
    <x v="2"/>
    <s v="Chandigarh"/>
    <x v="3"/>
    <x v="19"/>
    <n v="4"/>
    <n v="1134.8900000000001"/>
    <n v="0.05"/>
    <x v="366"/>
    <x v="366"/>
    <n v="68.97"/>
    <s v="Net Banking"/>
    <n v="4"/>
    <b v="0"/>
    <x v="1"/>
    <n v="2"/>
    <m/>
    <s v="Mid Age"/>
  </r>
  <r>
    <s v="ORD-01925"/>
    <d v="2022-05-01T00:00:00"/>
    <s v="CUST73689"/>
    <s v="Meera Chatterjee"/>
    <n v="41"/>
    <x v="1"/>
    <x v="4"/>
    <s v="Kochi"/>
    <x v="4"/>
    <x v="26"/>
    <n v="9"/>
    <n v="3373.39"/>
    <n v="0.02"/>
    <x v="367"/>
    <x v="367"/>
    <n v="73.180000000000007"/>
    <s v="Cash on Delivery"/>
    <n v="2"/>
    <b v="0"/>
    <x v="1"/>
    <n v="4"/>
    <m/>
    <s v="Old Age"/>
  </r>
  <r>
    <s v="ORD-02748"/>
    <d v="2023-04-05T00:00:00"/>
    <s v="CUST72583"/>
    <s v="Sunita Bose"/>
    <n v="41"/>
    <x v="2"/>
    <x v="1"/>
    <s v="Surat"/>
    <x v="0"/>
    <x v="35"/>
    <n v="9"/>
    <n v="467.6"/>
    <n v="0.02"/>
    <x v="368"/>
    <x v="368"/>
    <n v="37.130000000000003"/>
    <s v="EMI"/>
    <n v="4"/>
    <b v="0"/>
    <x v="1"/>
    <n v="7"/>
    <m/>
    <s v="Old Age"/>
  </r>
  <r>
    <s v="ORD-00575"/>
    <d v="2020-09-14T00:00:00"/>
    <s v="CUST39101"/>
    <s v="Sunita Mehta"/>
    <n v="32"/>
    <x v="0"/>
    <x v="3"/>
    <s v="Guwahati"/>
    <x v="2"/>
    <x v="24"/>
    <n v="7"/>
    <n v="5932.53"/>
    <n v="0.39"/>
    <x v="369"/>
    <x v="369"/>
    <n v="84.41"/>
    <s v="UPI"/>
    <n v="3"/>
    <b v="0"/>
    <x v="1"/>
    <n v="1"/>
    <m/>
    <s v="Mid Age"/>
  </r>
  <r>
    <s v="ORD-03873"/>
    <d v="2024-08-07T00:00:00"/>
    <s v="CUST07406"/>
    <s v="Sunita Pillai"/>
    <n v="54"/>
    <x v="0"/>
    <x v="1"/>
    <s v="Pune"/>
    <x v="4"/>
    <x v="26"/>
    <m/>
    <n v="545.99"/>
    <n v="0.34"/>
    <x v="370"/>
    <x v="370"/>
    <n v="68.2"/>
    <s v="Credit Card"/>
    <n v="1"/>
    <b v="0"/>
    <x v="1"/>
    <n v="9"/>
    <m/>
    <s v="Old Age"/>
  </r>
  <r>
    <s v="ORD-02409"/>
    <d v="2022-11-06T00:00:00"/>
    <s v="CUST13324"/>
    <s v="Sanjay Iyer"/>
    <n v="31"/>
    <x v="0"/>
    <x v="2"/>
    <s v="Delhi"/>
    <x v="0"/>
    <x v="35"/>
    <n v="8"/>
    <n v="163.97"/>
    <n v="0.16"/>
    <x v="371"/>
    <x v="371"/>
    <n v="24.74"/>
    <s v="Debit Card"/>
    <n v="4"/>
    <b v="0"/>
    <x v="4"/>
    <n v="8"/>
    <m/>
    <s v="Mid Age"/>
  </r>
  <r>
    <s v="ORD-02610"/>
    <d v="2023-02-06T00:00:00"/>
    <s v="CUST96115"/>
    <s v="Sanjay Rao"/>
    <n v="39"/>
    <x v="1"/>
    <x v="4"/>
    <s v="Kochi"/>
    <x v="3"/>
    <x v="5"/>
    <n v="10"/>
    <n v="947.87"/>
    <n v="0.24"/>
    <x v="372"/>
    <x v="372"/>
    <n v="84.4"/>
    <s v="Credit Card"/>
    <n v="4"/>
    <b v="0"/>
    <x v="1"/>
    <n v="4"/>
    <m/>
    <s v="Mid Age"/>
  </r>
  <r>
    <s v="ORD-00915"/>
    <d v="2021-02-16T00:00:00"/>
    <s v="CUST76268"/>
    <s v="Arjun Patel"/>
    <n v="36"/>
    <x v="0"/>
    <x v="2"/>
    <s v="Amritsar"/>
    <x v="5"/>
    <x v="33"/>
    <n v="3"/>
    <n v="48921.59"/>
    <n v="0.19"/>
    <x v="373"/>
    <x v="373"/>
    <n v="46.65"/>
    <s v="Credit Card"/>
    <n v="1"/>
    <b v="0"/>
    <x v="1"/>
    <n v="3"/>
    <m/>
    <s v="Mid Age"/>
  </r>
  <r>
    <s v="ORD-02705"/>
    <d v="2023-03-17T00:00:00"/>
    <s v="CUST85785"/>
    <s v="Meera Rao"/>
    <n v="41"/>
    <x v="2"/>
    <x v="1"/>
    <s v="Surat"/>
    <x v="1"/>
    <x v="37"/>
    <n v="2"/>
    <n v="888.49"/>
    <n v="0.08"/>
    <x v="374"/>
    <x v="374"/>
    <n v="42.25"/>
    <s v="Debit Card"/>
    <n v="1"/>
    <b v="0"/>
    <x v="2"/>
    <n v="8"/>
    <m/>
    <s v="Old Age"/>
  </r>
  <r>
    <s v="ORD-01524"/>
    <d v="2021-11-16T00:00:00"/>
    <s v="CUST61294"/>
    <s v="Shreya Mishra"/>
    <s v="N/A"/>
    <x v="0"/>
    <x v="2"/>
    <s v="Amritsar"/>
    <x v="0"/>
    <x v="34"/>
    <n v="1"/>
    <n v="148.49"/>
    <n v="0.12"/>
    <x v="375"/>
    <x v="375"/>
    <n v="70.77"/>
    <s v="Credit Card"/>
    <n v="1"/>
    <b v="0"/>
    <x v="1"/>
    <n v="9"/>
    <m/>
    <s v="Old Age"/>
  </r>
  <r>
    <s v="ORD-00597"/>
    <d v="2020-09-24T00:00:00"/>
    <s v="CUST03651"/>
    <s v="Arjun Patel"/>
    <n v="55"/>
    <x v="2"/>
    <x v="1"/>
    <s v="Surat"/>
    <x v="5"/>
    <x v="15"/>
    <n v="1"/>
    <n v="38379.550000000003"/>
    <n v="0.18"/>
    <x v="376"/>
    <x v="376"/>
    <n v="49.85"/>
    <s v="EMI"/>
    <n v="2"/>
    <b v="0"/>
    <x v="1"/>
    <s v="N/A"/>
    <m/>
    <s v="Old Age"/>
  </r>
  <r>
    <s v="ORD-04126"/>
    <d v="2024-11-30T00:00:00"/>
    <s v="CUST88649"/>
    <s v="Pooja Iyer"/>
    <n v="30"/>
    <x v="2"/>
    <x v="4"/>
    <s v="Chennai"/>
    <x v="3"/>
    <x v="5"/>
    <n v="10"/>
    <n v="1308.6300000000001"/>
    <n v="0.39"/>
    <x v="377"/>
    <x v="377"/>
    <n v="59.74"/>
    <s v="EMI"/>
    <n v="5"/>
    <b v="0"/>
    <x v="1"/>
    <n v="9"/>
    <m/>
    <s v="Mid Age"/>
  </r>
  <r>
    <s v="ORD-01289"/>
    <d v="2021-08-03T00:00:00"/>
    <s v="CUST60491"/>
    <s v="Shreya Bhat"/>
    <n v="24"/>
    <x v="0"/>
    <x v="3"/>
    <s v="Bhubaneswar"/>
    <x v="6"/>
    <x v="31"/>
    <n v="2"/>
    <n v="8857.58"/>
    <n v="0.05"/>
    <x v="378"/>
    <x v="378"/>
    <n v="90.64"/>
    <s v="Net Banking"/>
    <s v="N/A"/>
    <b v="1"/>
    <x v="0"/>
    <n v="8"/>
    <m/>
    <s v="Young Age"/>
  </r>
  <r>
    <s v="ORD-01992"/>
    <d v="2022-05-30T00:00:00"/>
    <s v="CUST42274"/>
    <s v="Nisha Reddy"/>
    <n v="38"/>
    <x v="0"/>
    <x v="4"/>
    <s v="Chennai"/>
    <x v="6"/>
    <x v="27"/>
    <n v="10"/>
    <n v="2313.34"/>
    <n v="7.0000000000000007E-2"/>
    <x v="379"/>
    <x v="379"/>
    <n v="54.61"/>
    <s v="Debit Card"/>
    <n v="1"/>
    <b v="1"/>
    <x v="0"/>
    <n v="3"/>
    <m/>
    <s v="Mid Age"/>
  </r>
  <r>
    <s v="ORD-02690"/>
    <d v="2023-03-13T00:00:00"/>
    <s v="CUST42802"/>
    <s v="Sanjay Rao"/>
    <n v="25"/>
    <x v="1"/>
    <x v="4"/>
    <s v="Hyderabad"/>
    <x v="6"/>
    <x v="31"/>
    <n v="4"/>
    <n v="7081.6"/>
    <n v="0.31"/>
    <x v="380"/>
    <x v="380"/>
    <n v="89.06"/>
    <s v="Debit Card"/>
    <s v="N/A"/>
    <b v="1"/>
    <x v="0"/>
    <n v="10"/>
    <m/>
    <s v="Young Age"/>
  </r>
  <r>
    <s v="ORD-02181"/>
    <d v="2022-08-13T00:00:00"/>
    <s v="CUST50045"/>
    <s v="Arjun Verma"/>
    <n v="21"/>
    <x v="1"/>
    <x v="2"/>
    <s v="Chandigarh"/>
    <x v="4"/>
    <x v="26"/>
    <n v="8"/>
    <n v="3588.17"/>
    <n v="0.24"/>
    <x v="381"/>
    <x v="381"/>
    <n v="86.78"/>
    <s v="EMI"/>
    <n v="1"/>
    <b v="0"/>
    <x v="1"/>
    <n v="7"/>
    <m/>
    <s v="Young Age"/>
  </r>
  <r>
    <s v="ORD-03851"/>
    <d v="2024-07-30T00:00:00"/>
    <s v="CUST24550"/>
    <s v="Amit Nair"/>
    <n v="19"/>
    <x v="0"/>
    <x v="1"/>
    <s v="Pune"/>
    <x v="4"/>
    <x v="7"/>
    <n v="4"/>
    <n v="2461.65"/>
    <n v="0.33"/>
    <x v="382"/>
    <x v="382"/>
    <n v="85.19"/>
    <s v="Net Banking"/>
    <n v="4"/>
    <b v="0"/>
    <x v="1"/>
    <n v="1"/>
    <m/>
    <s v="Young Age"/>
  </r>
  <r>
    <s v="ORD-00644"/>
    <d v="2020-10-14T00:00:00"/>
    <s v="CUST94203"/>
    <s v="Sanjay Nair"/>
    <n v="34"/>
    <x v="0"/>
    <x v="0"/>
    <s v="Bhopal"/>
    <x v="2"/>
    <x v="3"/>
    <n v="4"/>
    <n v="22879.02"/>
    <n v="0.1"/>
    <x v="383"/>
    <x v="383"/>
    <n v="53.94"/>
    <s v="Cash on Delivery"/>
    <n v="1"/>
    <b v="0"/>
    <x v="3"/>
    <n v="6"/>
    <m/>
    <s v="Mid Age"/>
  </r>
  <r>
    <s v="ORD-02923"/>
    <d v="2023-06-18T00:00:00"/>
    <s v="CUST62956"/>
    <s v="Pooja Mishra"/>
    <n v="15"/>
    <x v="1"/>
    <x v="2"/>
    <s v="Ludhiana"/>
    <x v="3"/>
    <x v="11"/>
    <n v="9"/>
    <n v="916.14"/>
    <n v="0.36"/>
    <x v="384"/>
    <x v="384"/>
    <n v="63.91"/>
    <s v="Cash on Delivery"/>
    <n v="4"/>
    <b v="0"/>
    <x v="3"/>
    <n v="7"/>
    <m/>
    <s v="Young Age"/>
  </r>
  <r>
    <s v="ORD-01414"/>
    <d v="2021-09-29T00:00:00"/>
    <s v="CUST00909"/>
    <s v="Ananya Verma"/>
    <n v="32"/>
    <x v="0"/>
    <x v="4"/>
    <s v="Bangalore"/>
    <x v="2"/>
    <x v="2"/>
    <n v="6"/>
    <n v="3717.72"/>
    <n v="0.22"/>
    <x v="385"/>
    <x v="385"/>
    <n v="62.81"/>
    <s v="Net Banking"/>
    <n v="2"/>
    <b v="0"/>
    <x v="1"/>
    <n v="3"/>
    <m/>
    <s v="Mid Age"/>
  </r>
  <r>
    <s v="ORD-03126"/>
    <d v="2023-09-11T00:00:00"/>
    <s v="CUST84742"/>
    <s v="Sunita Patel"/>
    <n v="42"/>
    <x v="0"/>
    <x v="4"/>
    <s v="Bangalore"/>
    <x v="6"/>
    <x v="22"/>
    <n v="7"/>
    <n v="7005.09"/>
    <n v="0"/>
    <x v="386"/>
    <x v="386"/>
    <n v="39.04"/>
    <s v="Net Banking"/>
    <n v="3"/>
    <b v="0"/>
    <x v="1"/>
    <n v="3"/>
    <m/>
    <s v="Old Age"/>
  </r>
  <r>
    <s v="ORD-00251"/>
    <d v="2020-04-20T00:00:00"/>
    <s v="CUST66007"/>
    <s v="Sunita Bose"/>
    <n v="26"/>
    <x v="1"/>
    <x v="2"/>
    <s v="Ludhiana"/>
    <x v="2"/>
    <x v="2"/>
    <n v="1"/>
    <n v="6470.7"/>
    <n v="0.34"/>
    <x v="387"/>
    <x v="387"/>
    <n v="66.87"/>
    <s v="Net Banking"/>
    <n v="4"/>
    <b v="0"/>
    <x v="1"/>
    <n v="7"/>
    <m/>
    <s v="Mid Age"/>
  </r>
  <r>
    <s v="ORD-03006"/>
    <d v="2023-07-24T00:00:00"/>
    <s v="CUST96839"/>
    <s v="Amit Sharma"/>
    <n v="38"/>
    <x v="2"/>
    <x v="0"/>
    <s v="Raipur"/>
    <x v="3"/>
    <x v="11"/>
    <n v="10"/>
    <n v="680.67"/>
    <n v="0.28000000000000003"/>
    <x v="388"/>
    <x v="388"/>
    <n v="60.91"/>
    <s v="Credit Card"/>
    <s v="N/A"/>
    <b v="0"/>
    <x v="1"/>
    <n v="4"/>
    <m/>
    <s v="Mid Age"/>
  </r>
  <r>
    <s v="ORD-01407"/>
    <d v="2021-09-25T00:00:00"/>
    <s v="CUST62870"/>
    <s v="Shreya Mehta"/>
    <n v="38"/>
    <x v="2"/>
    <x v="0"/>
    <s v="Raipur"/>
    <x v="1"/>
    <x v="29"/>
    <n v="2"/>
    <n v="1348.14"/>
    <n v="0.25"/>
    <x v="389"/>
    <x v="389"/>
    <n v="48.59"/>
    <s v="UPI"/>
    <n v="2"/>
    <b v="0"/>
    <x v="1"/>
    <n v="5"/>
    <m/>
    <s v="Mid Age"/>
  </r>
  <r>
    <s v="ORD-02313"/>
    <d v="2022-10-02T00:00:00"/>
    <s v="CUST66337"/>
    <s v="Kavya Singh"/>
    <s v="N/A"/>
    <x v="2"/>
    <x v="4"/>
    <s v="Bangalore"/>
    <x v="4"/>
    <x v="14"/>
    <n v="10"/>
    <n v="2259.7800000000002"/>
    <n v="0.04"/>
    <x v="390"/>
    <x v="390"/>
    <n v="52.93"/>
    <s v="UPI"/>
    <n v="5"/>
    <b v="0"/>
    <x v="1"/>
    <n v="7"/>
    <m/>
    <s v="Old Age"/>
  </r>
  <r>
    <s v="ORD-01620"/>
    <d v="2021-12-25T00:00:00"/>
    <s v="CUST54344"/>
    <s v="Nisha Bhat"/>
    <n v="27"/>
    <x v="2"/>
    <x v="2"/>
    <s v="Amritsar"/>
    <x v="1"/>
    <x v="1"/>
    <n v="1"/>
    <n v="805.29"/>
    <n v="0.36"/>
    <x v="391"/>
    <x v="391"/>
    <n v="52.35"/>
    <s v="Net Banking"/>
    <s v="N/A"/>
    <b v="0"/>
    <x v="1"/>
    <n v="6"/>
    <m/>
    <s v="Mid Age"/>
  </r>
  <r>
    <s v="ORD-00563"/>
    <d v="2020-09-07T00:00:00"/>
    <s v="CUST44323"/>
    <s v="Ritu Bose"/>
    <n v="33"/>
    <x v="2"/>
    <x v="4"/>
    <s v="Bangalore"/>
    <x v="3"/>
    <x v="11"/>
    <n v="6"/>
    <n v="1105.96"/>
    <n v="0.28999999999999998"/>
    <x v="392"/>
    <x v="392"/>
    <n v="67.650000000000006"/>
    <s v="Debit Card"/>
    <n v="3"/>
    <b v="1"/>
    <x v="0"/>
    <s v="N/A"/>
    <m/>
    <s v="Mid Age"/>
  </r>
  <r>
    <s v="ORD-01940"/>
    <d v="2022-06-05T00:00:00"/>
    <s v="CUST29935"/>
    <s v="Sanjay Mishra"/>
    <n v="30"/>
    <x v="2"/>
    <x v="1"/>
    <s v="Surat"/>
    <x v="1"/>
    <x v="1"/>
    <n v="8"/>
    <n v="2364.86"/>
    <n v="0.15"/>
    <x v="393"/>
    <x v="393"/>
    <n v="58.27"/>
    <s v="Debit Card"/>
    <n v="5"/>
    <b v="0"/>
    <x v="1"/>
    <n v="5"/>
    <m/>
    <s v="Mid Age"/>
  </r>
  <r>
    <s v="ORD-00142"/>
    <d v="2020-02-27T00:00:00"/>
    <s v="CUST82516"/>
    <s v="Ritu Joshi"/>
    <n v="40"/>
    <x v="2"/>
    <x v="3"/>
    <s v="Bhubaneswar"/>
    <x v="6"/>
    <x v="27"/>
    <n v="1"/>
    <n v="11227.96"/>
    <n v="0.31"/>
    <x v="394"/>
    <x v="394"/>
    <n v="87.6"/>
    <s v="Net Banking"/>
    <n v="2"/>
    <b v="0"/>
    <x v="4"/>
    <n v="3"/>
    <m/>
    <s v="Mid Age"/>
  </r>
  <r>
    <s v="ORD-03035"/>
    <d v="2023-08-05T00:00:00"/>
    <s v="CUST76199"/>
    <s v="Meera Pillai"/>
    <n v="60"/>
    <x v="0"/>
    <x v="1"/>
    <s v="Ahmedabad"/>
    <x v="6"/>
    <x v="27"/>
    <n v="3"/>
    <n v="6247.18"/>
    <n v="0.23"/>
    <x v="395"/>
    <x v="395"/>
    <n v="52.48"/>
    <s v="Credit Card"/>
    <n v="4"/>
    <b v="0"/>
    <x v="1"/>
    <n v="7"/>
    <m/>
    <s v="Old Age"/>
  </r>
  <r>
    <s v="ORD-04095"/>
    <d v="2024-11-11T00:00:00"/>
    <s v="CUST78442"/>
    <s v="Arjun Gupta"/>
    <n v="43"/>
    <x v="2"/>
    <x v="4"/>
    <s v="Kochi"/>
    <x v="2"/>
    <x v="3"/>
    <n v="2"/>
    <n v="28947.69"/>
    <n v="0.39"/>
    <x v="396"/>
    <x v="396"/>
    <n v="63.11"/>
    <s v="UPI"/>
    <s v="N/A"/>
    <b v="0"/>
    <x v="1"/>
    <n v="1"/>
    <m/>
    <s v="Old Age"/>
  </r>
  <r>
    <s v="ORD-03088"/>
    <d v="2023-08-26T00:00:00"/>
    <s v="CUST49151"/>
    <s v="Sunita Patel"/>
    <n v="35"/>
    <x v="0"/>
    <x v="1"/>
    <s v="Mumbai"/>
    <x v="5"/>
    <x v="17"/>
    <n v="1"/>
    <n v="41296.1"/>
    <n v="7.0000000000000007E-2"/>
    <x v="397"/>
    <x v="397"/>
    <n v="65.67"/>
    <s v="Credit Card"/>
    <n v="5"/>
    <b v="0"/>
    <x v="1"/>
    <n v="5"/>
    <m/>
    <s v="Mid Age"/>
  </r>
  <r>
    <s v="ORD-00283"/>
    <d v="2020-05-05T00:00:00"/>
    <s v="CUST17741"/>
    <s v="Arjun Verma"/>
    <n v="32"/>
    <x v="2"/>
    <x v="3"/>
    <s v="Patna"/>
    <x v="3"/>
    <x v="11"/>
    <n v="10"/>
    <n v="1387.77"/>
    <n v="0.03"/>
    <x v="398"/>
    <x v="398"/>
    <n v="88.89"/>
    <s v="Net Banking"/>
    <n v="4"/>
    <b v="0"/>
    <x v="1"/>
    <n v="9"/>
    <m/>
    <s v="Mid Age"/>
  </r>
  <r>
    <s v="ORD-01821"/>
    <d v="2022-03-16T00:00:00"/>
    <s v="CUST07773"/>
    <s v="Karan Gupta"/>
    <n v="41"/>
    <x v="2"/>
    <x v="4"/>
    <s v="Hyderabad"/>
    <x v="3"/>
    <x v="19"/>
    <n v="2"/>
    <n v="1012.58"/>
    <n v="0"/>
    <x v="399"/>
    <x v="399"/>
    <n v="79.239999999999995"/>
    <s v="UPI"/>
    <n v="5"/>
    <b v="0"/>
    <x v="1"/>
    <s v="N/A"/>
    <m/>
    <s v="Old Age"/>
  </r>
  <r>
    <s v="ORD-01627"/>
    <d v="2021-12-27T00:00:00"/>
    <s v="CUST42701"/>
    <s v="Aarav Joshi"/>
    <n v="48"/>
    <x v="1"/>
    <x v="4"/>
    <s v="Kochi"/>
    <x v="4"/>
    <x v="16"/>
    <n v="10"/>
    <n v="593.54999999999995"/>
    <n v="0.18"/>
    <x v="400"/>
    <x v="400"/>
    <n v="78"/>
    <s v="Debit Card"/>
    <n v="5"/>
    <b v="0"/>
    <x v="1"/>
    <n v="9"/>
    <m/>
    <s v="Old Age"/>
  </r>
  <r>
    <s v="ORD-02274"/>
    <d v="2022-09-15T00:00:00"/>
    <s v="CUST66737"/>
    <s v="Ananya Patel"/>
    <n v="43"/>
    <x v="2"/>
    <x v="4"/>
    <s v="Chennai"/>
    <x v="4"/>
    <x v="12"/>
    <n v="0"/>
    <n v="803.12"/>
    <n v="7.0000000000000007E-2"/>
    <x v="401"/>
    <x v="401"/>
    <n v="73.010000000000005"/>
    <s v="Credit Card"/>
    <n v="3"/>
    <b v="0"/>
    <x v="1"/>
    <n v="7"/>
    <m/>
    <s v="Old Age"/>
  </r>
  <r>
    <s v="ORD-03211"/>
    <d v="2023-10-20T00:00:00"/>
    <s v="CUST59240"/>
    <s v="Ananya Mehta"/>
    <n v="47"/>
    <x v="1"/>
    <x v="2"/>
    <s v="Ludhiana"/>
    <x v="1"/>
    <x v="41"/>
    <n v="3"/>
    <n v="2099.98"/>
    <n v="0.35"/>
    <x v="402"/>
    <x v="402"/>
    <n v="50.77"/>
    <s v="Cash on Delivery"/>
    <s v="N/A"/>
    <b v="1"/>
    <x v="0"/>
    <n v="7"/>
    <m/>
    <s v="Old Age"/>
  </r>
  <r>
    <s v="ORD-02973"/>
    <d v="2023-07-11T00:00:00"/>
    <s v="CUST55824"/>
    <s v="Ritu Kumar"/>
    <n v="27"/>
    <x v="1"/>
    <x v="1"/>
    <s v="Pune"/>
    <x v="3"/>
    <x v="30"/>
    <n v="1"/>
    <n v="623.96"/>
    <n v="0.21"/>
    <x v="403"/>
    <x v="403"/>
    <n v="68.14"/>
    <s v="Cash on Delivery"/>
    <n v="3"/>
    <b v="0"/>
    <x v="1"/>
    <n v="6"/>
    <m/>
    <s v="Mid Age"/>
  </r>
  <r>
    <s v="ORD-03131"/>
    <d v="2023-09-15T00:00:00"/>
    <s v="CUST60904"/>
    <s v="Aditya Shah"/>
    <n v="29"/>
    <x v="2"/>
    <x v="2"/>
    <s v="Chandigarh"/>
    <x v="0"/>
    <x v="9"/>
    <n v="1"/>
    <n v="394.11"/>
    <n v="0.22"/>
    <x v="404"/>
    <x v="404"/>
    <n v="55.15"/>
    <s v="UPI"/>
    <n v="3"/>
    <b v="0"/>
    <x v="1"/>
    <n v="2"/>
    <m/>
    <s v="Mid Age"/>
  </r>
  <r>
    <s v="ORD-01170"/>
    <d v="2021-06-08T00:00:00"/>
    <s v="CUST04051"/>
    <s v="Ananya Sharma"/>
    <n v="40"/>
    <x v="1"/>
    <x v="4"/>
    <s v="Hyderabad"/>
    <x v="2"/>
    <x v="2"/>
    <n v="5"/>
    <n v="23260.25"/>
    <n v="0.33"/>
    <x v="405"/>
    <x v="405"/>
    <n v="74.55"/>
    <s v="EMI"/>
    <n v="5"/>
    <b v="0"/>
    <x v="1"/>
    <n v="9"/>
    <m/>
    <s v="Mid Age"/>
  </r>
  <r>
    <s v="ORD-02153"/>
    <d v="2022-08-03T00:00:00"/>
    <s v="CUST05495"/>
    <s v="Vikram Singh"/>
    <n v="45"/>
    <x v="2"/>
    <x v="2"/>
    <s v="Delhi"/>
    <x v="4"/>
    <x v="7"/>
    <n v="1"/>
    <n v="2503.3000000000002"/>
    <n v="0.15"/>
    <x v="406"/>
    <x v="406"/>
    <n v="47.55"/>
    <s v="EMI"/>
    <n v="2"/>
    <b v="1"/>
    <x v="0"/>
    <n v="10"/>
    <m/>
    <s v="Old Age"/>
  </r>
  <r>
    <s v="ORD-02260"/>
    <d v="2022-09-10T00:00:00"/>
    <s v="CUST10492"/>
    <s v="Rahul Patel"/>
    <n v="61"/>
    <x v="0"/>
    <x v="1"/>
    <s v="Surat"/>
    <x v="1"/>
    <x v="10"/>
    <n v="9"/>
    <n v="1292.1600000000001"/>
    <n v="0.22"/>
    <x v="407"/>
    <x v="407"/>
    <n v="70.59"/>
    <s v="Credit Card"/>
    <n v="2"/>
    <b v="1"/>
    <x v="0"/>
    <n v="6"/>
    <m/>
    <s v="Old Age"/>
  </r>
  <r>
    <s v="ORD-01363"/>
    <d v="2021-09-05T00:00:00"/>
    <s v="CUST15260"/>
    <s v="Meera Patel"/>
    <n v="40"/>
    <x v="2"/>
    <x v="3"/>
    <s v="Bhubaneswar"/>
    <x v="5"/>
    <x v="25"/>
    <n v="10"/>
    <n v="55908.72"/>
    <n v="0.11"/>
    <x v="408"/>
    <x v="408"/>
    <n v="75.650000000000006"/>
    <s v="Cash on Delivery"/>
    <n v="5"/>
    <b v="0"/>
    <x v="4"/>
    <n v="4"/>
    <m/>
    <s v="Mid Age"/>
  </r>
  <r>
    <s v="ORD-01781"/>
    <d v="2022-03-02T00:00:00"/>
    <s v="CUST31446"/>
    <s v="Priya Singh"/>
    <n v="57"/>
    <x v="2"/>
    <x v="2"/>
    <s v="Chandigarh"/>
    <x v="1"/>
    <x v="29"/>
    <n v="6"/>
    <n v="583.99"/>
    <n v="0.26"/>
    <x v="409"/>
    <x v="409"/>
    <n v="22.05"/>
    <s v="Credit Card"/>
    <n v="4"/>
    <b v="0"/>
    <x v="4"/>
    <n v="6"/>
    <m/>
    <s v="Old Age"/>
  </r>
  <r>
    <s v="ORD-02812"/>
    <d v="2023-05-04T00:00:00"/>
    <s v="CUST82471"/>
    <s v="Pooja Shah"/>
    <n v="36"/>
    <x v="2"/>
    <x v="4"/>
    <s v="Kochi"/>
    <x v="4"/>
    <x v="6"/>
    <n v="2"/>
    <n v="3236.58"/>
    <n v="0.04"/>
    <x v="410"/>
    <x v="410"/>
    <n v="71.87"/>
    <s v="Cash on Delivery"/>
    <n v="1"/>
    <b v="0"/>
    <x v="1"/>
    <n v="9"/>
    <m/>
    <s v="Mid Age"/>
  </r>
  <r>
    <s v="ORD-04169"/>
    <d v="2024-12-16T00:00:00"/>
    <s v="CUST68700"/>
    <s v="Aditya Mehta"/>
    <n v="33"/>
    <x v="2"/>
    <x v="4"/>
    <s v="Bangalore"/>
    <x v="6"/>
    <x v="20"/>
    <n v="9"/>
    <n v="7976.73"/>
    <n v="0"/>
    <x v="411"/>
    <x v="411"/>
    <n v="69.849999999999994"/>
    <s v="EMI"/>
    <n v="1"/>
    <b v="0"/>
    <x v="1"/>
    <n v="8"/>
    <m/>
    <s v="Mid Age"/>
  </r>
  <r>
    <s v="ORD-00384"/>
    <d v="2020-06-12T00:00:00"/>
    <s v="CUST60562"/>
    <s v="Kavya Rao"/>
    <n v="25"/>
    <x v="1"/>
    <x v="2"/>
    <s v="Ludhiana"/>
    <x v="4"/>
    <x v="14"/>
    <n v="10"/>
    <n v="658.16"/>
    <n v="0.25"/>
    <x v="412"/>
    <x v="412"/>
    <n v="63.58"/>
    <s v="Cash on Delivery"/>
    <n v="1"/>
    <b v="0"/>
    <x v="1"/>
    <n v="7"/>
    <m/>
    <s v="Young Age"/>
  </r>
  <r>
    <s v="ORD-03940"/>
    <d v="2024-08-26T00:00:00"/>
    <s v="CUST96355"/>
    <s v="Shreya Bose"/>
    <n v="35"/>
    <x v="2"/>
    <x v="3"/>
    <s v="Bhubaneswar"/>
    <x v="3"/>
    <x v="19"/>
    <n v="2"/>
    <n v="1157.8900000000001"/>
    <n v="0.35"/>
    <x v="413"/>
    <x v="413"/>
    <n v="56.27"/>
    <s v="Debit Card"/>
    <n v="1"/>
    <b v="0"/>
    <x v="1"/>
    <n v="9"/>
    <m/>
    <s v="Mid Age"/>
  </r>
  <r>
    <s v="ORD-01059"/>
    <d v="2021-04-25T00:00:00"/>
    <s v="CUST64001"/>
    <s v="Ananya Das"/>
    <n v="63"/>
    <x v="0"/>
    <x v="4"/>
    <s v="Hyderabad"/>
    <x v="5"/>
    <x v="15"/>
    <n v="8"/>
    <n v="28211.93"/>
    <n v="0.33"/>
    <x v="414"/>
    <x v="414"/>
    <n v="61.29"/>
    <s v="Debit Card"/>
    <n v="5"/>
    <b v="0"/>
    <x v="1"/>
    <n v="4"/>
    <m/>
    <s v="Old Age"/>
  </r>
  <r>
    <s v="ORD-03995"/>
    <d v="2024-09-21T00:00:00"/>
    <s v="CUST60857"/>
    <s v="Aarav Kapoor"/>
    <n v="30"/>
    <x v="1"/>
    <x v="0"/>
    <s v="Raipur"/>
    <x v="1"/>
    <x v="1"/>
    <n v="7"/>
    <n v="2114.17"/>
    <n v="0.39"/>
    <x v="415"/>
    <x v="415"/>
    <n v="26.71"/>
    <s v="Debit Card"/>
    <n v="3"/>
    <b v="0"/>
    <x v="1"/>
    <s v="N/A"/>
    <m/>
    <s v="Mid Age"/>
  </r>
  <r>
    <s v="ORD-03729"/>
    <d v="2024-06-14T00:00:00"/>
    <s v="CUST27952"/>
    <s v="Pooja Rao"/>
    <n v="33"/>
    <x v="0"/>
    <x v="1"/>
    <s v="Ahmedabad"/>
    <x v="4"/>
    <x v="14"/>
    <n v="1"/>
    <n v="3581.25"/>
    <n v="0.01"/>
    <x v="416"/>
    <x v="416"/>
    <n v="56.33"/>
    <s v="Credit Card"/>
    <n v="1"/>
    <b v="0"/>
    <x v="1"/>
    <s v="N/A"/>
    <m/>
    <s v="Mid Age"/>
  </r>
  <r>
    <s v="ORD-03122"/>
    <d v="2023-09-09T00:00:00"/>
    <s v="CUST56458"/>
    <s v="Kavya Das"/>
    <n v="30"/>
    <x v="0"/>
    <x v="3"/>
    <s v="Kolkata"/>
    <x v="2"/>
    <x v="28"/>
    <n v="9"/>
    <n v="24481.84"/>
    <n v="0.18"/>
    <x v="417"/>
    <x v="417"/>
    <n v="92.95"/>
    <s v="Net Banking"/>
    <n v="3"/>
    <b v="0"/>
    <x v="2"/>
    <n v="10"/>
    <m/>
    <s v="Mid Age"/>
  </r>
  <r>
    <s v="ORD-02176"/>
    <d v="2022-08-12T00:00:00"/>
    <s v="CUST51575"/>
    <s v="Karan Mishra"/>
    <n v="30"/>
    <x v="0"/>
    <x v="2"/>
    <s v="Ludhiana"/>
    <x v="6"/>
    <x v="20"/>
    <n v="7"/>
    <n v="14759.38"/>
    <n v="0"/>
    <x v="418"/>
    <x v="418"/>
    <n v="70.7"/>
    <s v="Net Banking"/>
    <n v="3"/>
    <b v="0"/>
    <x v="1"/>
    <n v="7"/>
    <m/>
    <s v="Mid Age"/>
  </r>
  <r>
    <s v="ORD-01078"/>
    <d v="2021-05-03T00:00:00"/>
    <s v="CUST72966"/>
    <s v="Vikram Verma"/>
    <n v="52"/>
    <x v="2"/>
    <x v="3"/>
    <s v="Kolkata"/>
    <x v="1"/>
    <x v="37"/>
    <n v="2"/>
    <n v="608.88"/>
    <n v="0.23"/>
    <x v="419"/>
    <x v="419"/>
    <n v="106.95"/>
    <s v="UPI"/>
    <n v="4"/>
    <b v="1"/>
    <x v="0"/>
    <n v="4"/>
    <m/>
    <s v="Old Age"/>
  </r>
  <r>
    <s v="ORD-03959"/>
    <d v="2024-04-09T00:00:00"/>
    <s v="CUST64416"/>
    <s v="Pooja Reddy"/>
    <n v="35"/>
    <x v="0"/>
    <x v="1"/>
    <s v="Surat"/>
    <x v="4"/>
    <x v="16"/>
    <n v="10"/>
    <n v="1823.02"/>
    <n v="0.19"/>
    <x v="420"/>
    <x v="420"/>
    <n v="63.11"/>
    <s v="UPI"/>
    <n v="5"/>
    <b v="0"/>
    <x v="1"/>
    <n v="6"/>
    <m/>
    <s v="Mid Age"/>
  </r>
  <r>
    <s v="ORD-02697"/>
    <d v="2023-03-14T00:00:00"/>
    <s v="CUST37138"/>
    <s v="Ritu Nair"/>
    <n v="42"/>
    <x v="0"/>
    <x v="1"/>
    <s v="Pune"/>
    <x v="5"/>
    <x v="17"/>
    <n v="2"/>
    <n v="76935.789999999994"/>
    <n v="0.01"/>
    <x v="421"/>
    <x v="421"/>
    <n v="63.96"/>
    <s v="Cash on Delivery"/>
    <n v="1"/>
    <b v="0"/>
    <x v="1"/>
    <n v="3"/>
    <m/>
    <s v="Old Age"/>
  </r>
  <r>
    <s v="ORD-00270"/>
    <s v="28/04/2020"/>
    <s v="CUST73911"/>
    <s v="Ritu Patel"/>
    <n v="-5"/>
    <x v="0"/>
    <x v="3"/>
    <s v="Kolkata"/>
    <x v="4"/>
    <x v="26"/>
    <n v="6"/>
    <n v="2934.92"/>
    <n v="0.1"/>
    <x v="422"/>
    <x v="422"/>
    <n v="74.02"/>
    <s v="Debit Card"/>
    <n v="5"/>
    <b v="0"/>
    <x v="3"/>
    <n v="8"/>
    <m/>
    <s v="Young Age"/>
  </r>
  <r>
    <s v="ORD-02515"/>
    <d v="2022-12-28T00:00:00"/>
    <s v="CUST66205"/>
    <s v="Ritu Verma"/>
    <n v="30"/>
    <x v="1"/>
    <x v="1"/>
    <s v="Pune"/>
    <x v="3"/>
    <x v="40"/>
    <n v="5"/>
    <n v="1103.75"/>
    <n v="0.25"/>
    <x v="423"/>
    <x v="423"/>
    <n v="60.86"/>
    <s v="Cash on Delivery"/>
    <n v="3"/>
    <b v="0"/>
    <x v="3"/>
    <n v="1"/>
    <m/>
    <s v="Mid Age"/>
  </r>
  <r>
    <s v="ORD-02735"/>
    <d v="2023-03-30T00:00:00"/>
    <s v="CUST60872"/>
    <s v="Kavya Shah"/>
    <n v="38"/>
    <x v="1"/>
    <x v="4"/>
    <s v="Chennai"/>
    <x v="2"/>
    <x v="13"/>
    <n v="1"/>
    <n v="7329.9"/>
    <n v="0.35"/>
    <x v="424"/>
    <x v="424"/>
    <n v="101.29"/>
    <s v="Credit Card"/>
    <n v="5"/>
    <b v="0"/>
    <x v="4"/>
    <n v="10"/>
    <m/>
    <s v="Mid Age"/>
  </r>
  <r>
    <s v="ORD-01766"/>
    <d v="2022-02-21T00:00:00"/>
    <s v="CUST87890"/>
    <s v="Karan Mishra"/>
    <n v="46"/>
    <x v="0"/>
    <x v="0"/>
    <s v="Nagpur"/>
    <x v="3"/>
    <x v="32"/>
    <n v="4"/>
    <n v="378.9"/>
    <n v="0.39"/>
    <x v="425"/>
    <x v="425"/>
    <n v="29.15"/>
    <s v="Credit Card"/>
    <n v="5"/>
    <b v="0"/>
    <x v="1"/>
    <n v="3"/>
    <m/>
    <s v="Old Age"/>
  </r>
  <r>
    <s v="ORD-02707"/>
    <d v="2023-03-18T00:00:00"/>
    <s v="CUST97042"/>
    <s v="Ananya Mishra"/>
    <n v="28"/>
    <x v="0"/>
    <x v="0"/>
    <s v="Bhopal"/>
    <x v="3"/>
    <x v="11"/>
    <n v="4"/>
    <n v="1221.1099999999999"/>
    <n v="0.25"/>
    <x v="426"/>
    <x v="426"/>
    <n v="43.22"/>
    <s v="EMI"/>
    <n v="5"/>
    <b v="0"/>
    <x v="1"/>
    <n v="5"/>
    <m/>
    <s v="Mid Age"/>
  </r>
  <r>
    <s v="ORD-00671"/>
    <d v="2020-10-31T00:00:00"/>
    <s v="CUST93387"/>
    <s v="Ritu Bose"/>
    <n v="43"/>
    <x v="0"/>
    <x v="1"/>
    <s v="Surat"/>
    <x v="0"/>
    <x v="4"/>
    <n v="8"/>
    <n v="347.71"/>
    <n v="0.08"/>
    <x v="427"/>
    <x v="427"/>
    <n v="64.88"/>
    <s v="Credit Card"/>
    <n v="5"/>
    <b v="0"/>
    <x v="1"/>
    <n v="9"/>
    <m/>
    <s v="Old Age"/>
  </r>
  <r>
    <s v="ORD-03931"/>
    <d v="2024-08-23T00:00:00"/>
    <s v="CUST94914"/>
    <s v="Sunita Verma"/>
    <n v="31"/>
    <x v="0"/>
    <x v="4"/>
    <s v="Chennai"/>
    <x v="6"/>
    <x v="38"/>
    <n v="6"/>
    <n v="9574.41"/>
    <n v="0.02"/>
    <x v="428"/>
    <x v="428"/>
    <n v="75.33"/>
    <s v="EMI"/>
    <n v="4"/>
    <b v="0"/>
    <x v="1"/>
    <n v="6"/>
    <m/>
    <s v="Mid Age"/>
  </r>
  <r>
    <s v="ORD-04022"/>
    <d v="2024-10-09T00:00:00"/>
    <s v="CUST76630"/>
    <s v="Aarav Patel"/>
    <s v="N/A"/>
    <x v="1"/>
    <x v="4"/>
    <s v="Kochi"/>
    <x v="3"/>
    <x v="11"/>
    <n v="8"/>
    <n v="1268.46"/>
    <n v="0.05"/>
    <x v="429"/>
    <x v="429"/>
    <n v="30.55"/>
    <s v="EMI"/>
    <n v="2"/>
    <b v="0"/>
    <x v="1"/>
    <n v="10"/>
    <m/>
    <s v="Old Age"/>
  </r>
  <r>
    <s v="ORD-01721"/>
    <d v="2022-02-05T00:00:00"/>
    <s v="CUST05033"/>
    <s v="Pooja Mishra"/>
    <n v="22"/>
    <x v="1"/>
    <x v="1"/>
    <s v="Ahmedabad"/>
    <x v="6"/>
    <x v="20"/>
    <n v="8"/>
    <n v="11620.56"/>
    <n v="0.18"/>
    <x v="430"/>
    <x v="430"/>
    <n v="50.64"/>
    <s v="Debit Card"/>
    <n v="4"/>
    <b v="0"/>
    <x v="1"/>
    <n v="2"/>
    <m/>
    <s v="Young Age"/>
  </r>
  <r>
    <s v="ORD-03054"/>
    <d v="2023-08-14T00:00:00"/>
    <s v="CUST26906"/>
    <s v="Nisha Iyer"/>
    <n v="39"/>
    <x v="2"/>
    <x v="3"/>
    <s v="Patna"/>
    <x v="5"/>
    <x v="39"/>
    <n v="1"/>
    <n v="34885.370000000003"/>
    <n v="0.1"/>
    <x v="431"/>
    <x v="431"/>
    <n v="85.38"/>
    <s v="Credit Card"/>
    <n v="4"/>
    <b v="0"/>
    <x v="4"/>
    <n v="3"/>
    <m/>
    <s v="Mid Age"/>
  </r>
  <r>
    <s v="ORD-03543"/>
    <d v="2024-03-20T00:00:00"/>
    <s v="CUST14777"/>
    <s v="Aarav Shah"/>
    <n v="60"/>
    <x v="0"/>
    <x v="0"/>
    <s v="Nagpur"/>
    <x v="2"/>
    <x v="3"/>
    <n v="7"/>
    <n v="28445.23"/>
    <n v="0.28000000000000003"/>
    <x v="432"/>
    <x v="432"/>
    <n v="18.04"/>
    <s v="UPI"/>
    <n v="2"/>
    <b v="0"/>
    <x v="3"/>
    <n v="10"/>
    <m/>
    <s v="Old Age"/>
  </r>
  <r>
    <s v="ORD-02803"/>
    <d v="2023-04-30T00:00:00"/>
    <s v="CUST07347"/>
    <s v="Priya Mehta"/>
    <n v="28"/>
    <x v="2"/>
    <x v="1"/>
    <s v="Mumbai"/>
    <x v="5"/>
    <x v="33"/>
    <n v="6"/>
    <n v="64360.23"/>
    <n v="0.32"/>
    <x v="433"/>
    <x v="433"/>
    <n v="55.31"/>
    <s v="Debit Card"/>
    <n v="1"/>
    <b v="0"/>
    <x v="1"/>
    <n v="1"/>
    <m/>
    <s v="Mid Age"/>
  </r>
  <r>
    <s v="ORD-03231"/>
    <d v="2023-10-29T00:00:00"/>
    <s v="CUST88608"/>
    <s v="Nikhil Nair"/>
    <n v="50"/>
    <x v="1"/>
    <x v="4"/>
    <s v="Hyderabad"/>
    <x v="1"/>
    <x v="1"/>
    <n v="2"/>
    <n v="1820.95"/>
    <n v="0.15"/>
    <x v="434"/>
    <x v="434"/>
    <n v="69.89"/>
    <s v="Net Banking"/>
    <n v="4"/>
    <b v="0"/>
    <x v="1"/>
    <n v="5"/>
    <m/>
    <s v="Old Age"/>
  </r>
  <r>
    <s v="ORD-02672"/>
    <d v="2023-03-01T00:00:00"/>
    <s v="CUST97216"/>
    <s v="Deepa Pillai"/>
    <n v="29"/>
    <x v="2"/>
    <x v="3"/>
    <s v="Bhubaneswar"/>
    <x v="5"/>
    <x v="17"/>
    <n v="6"/>
    <n v="78301.55"/>
    <n v="0.24"/>
    <x v="435"/>
    <x v="435"/>
    <n v="87.28"/>
    <s v="EMI"/>
    <n v="4"/>
    <b v="0"/>
    <x v="1"/>
    <n v="7"/>
    <m/>
    <s v="Mid Age"/>
  </r>
  <r>
    <s v="ORD-00232"/>
    <d v="2020-04-11T00:00:00"/>
    <s v="CUST30800"/>
    <s v="Rohan Chatterjee"/>
    <n v="36"/>
    <x v="0"/>
    <x v="0"/>
    <s v="Nagpur"/>
    <x v="1"/>
    <x v="37"/>
    <n v="4"/>
    <n v="171.85"/>
    <n v="0.03"/>
    <x v="436"/>
    <x v="436"/>
    <n v="34.270000000000003"/>
    <s v="Debit Card"/>
    <n v="3"/>
    <b v="0"/>
    <x v="4"/>
    <n v="8"/>
    <m/>
    <s v="Mid Age"/>
  </r>
  <r>
    <s v="ORD-00566"/>
    <d v="2020-09-09T00:00:00"/>
    <s v="CUST67628"/>
    <s v="Meera Chatterjee"/>
    <n v="25"/>
    <x v="0"/>
    <x v="2"/>
    <s v="Amritsar"/>
    <x v="6"/>
    <x v="18"/>
    <m/>
    <n v="603.71"/>
    <n v="0.39"/>
    <x v="437"/>
    <x v="437"/>
    <n v="68.010000000000005"/>
    <s v="Net Banking"/>
    <s v="N/A"/>
    <b v="0"/>
    <x v="4"/>
    <n v="9"/>
    <m/>
    <s v="Young Age"/>
  </r>
  <r>
    <s v="ORD-01174"/>
    <d v="2021-06-09T00:00:00"/>
    <s v="CUST88311"/>
    <s v="Karan Gupta"/>
    <n v="31"/>
    <x v="2"/>
    <x v="3"/>
    <s v="Patna"/>
    <x v="0"/>
    <x v="9"/>
    <n v="6"/>
    <n v="57.72"/>
    <n v="0"/>
    <x v="438"/>
    <x v="438"/>
    <n v="80.69"/>
    <s v="EMI"/>
    <n v="3"/>
    <b v="0"/>
    <x v="4"/>
    <n v="5"/>
    <m/>
    <s v="Mid Age"/>
  </r>
  <r>
    <s v="ORD-00522"/>
    <d v="2020-08-19T00:00:00"/>
    <s v="CUST28496"/>
    <s v="Ritu Gupta"/>
    <n v="49"/>
    <x v="2"/>
    <x v="4"/>
    <s v="Hyderabad"/>
    <x v="2"/>
    <x v="28"/>
    <n v="3"/>
    <n v="28093.41"/>
    <n v="0.11"/>
    <x v="439"/>
    <x v="439"/>
    <n v="69.8"/>
    <s v="Net Banking"/>
    <n v="3"/>
    <b v="1"/>
    <x v="0"/>
    <n v="3"/>
    <m/>
    <s v="Old Age"/>
  </r>
  <r>
    <s v="ORD-03797"/>
    <d v="2024-07-09T00:00:00"/>
    <s v="CUST19882"/>
    <s v="Sanjay Gupta"/>
    <n v="30"/>
    <x v="1"/>
    <x v="2"/>
    <s v="Chandigarh"/>
    <x v="5"/>
    <x v="17"/>
    <n v="3"/>
    <n v="39483.93"/>
    <n v="0.01"/>
    <x v="440"/>
    <x v="440"/>
    <n v="68.56"/>
    <s v="UPI"/>
    <n v="3"/>
    <b v="1"/>
    <x v="0"/>
    <n v="2"/>
    <m/>
    <s v="Mid Age"/>
  </r>
  <r>
    <s v="ORD-04170"/>
    <d v="2024-12-16T00:00:00"/>
    <s v="CUST70820"/>
    <s v="Nikhil Iyer"/>
    <n v="14"/>
    <x v="1"/>
    <x v="3"/>
    <s v="Kolkata"/>
    <x v="4"/>
    <x v="26"/>
    <n v="4"/>
    <n v="1999.6"/>
    <n v="0.4"/>
    <x v="441"/>
    <x v="441"/>
    <n v="66.84"/>
    <s v="Net Banking"/>
    <s v="N/A"/>
    <b v="0"/>
    <x v="1"/>
    <s v="N/A"/>
    <m/>
    <s v="Young Age"/>
  </r>
  <r>
    <s v="ORD-03327"/>
    <d v="2023-10-12T00:00:00"/>
    <s v="CUST05689"/>
    <s v="Ananya Bhat"/>
    <n v="30"/>
    <x v="1"/>
    <x v="2"/>
    <s v="Ludhiana"/>
    <x v="0"/>
    <x v="4"/>
    <n v="9"/>
    <n v="407.05"/>
    <n v="0.3"/>
    <x v="442"/>
    <x v="442"/>
    <n v="72.88"/>
    <s v="Net Banking"/>
    <n v="4"/>
    <b v="0"/>
    <x v="3"/>
    <n v="6"/>
    <m/>
    <s v="Mid Age"/>
  </r>
  <r>
    <s v="ORD-03907"/>
    <d v="2024-08-16T00:00:00"/>
    <s v="CUST07299"/>
    <s v="Karan Reddy"/>
    <n v="46"/>
    <x v="2"/>
    <x v="0"/>
    <s v="Nagpur"/>
    <x v="6"/>
    <x v="38"/>
    <n v="9"/>
    <n v="3110.88"/>
    <n v="0.28000000000000003"/>
    <x v="443"/>
    <x v="443"/>
    <n v="43.42"/>
    <s v="EMI"/>
    <n v="2"/>
    <b v="0"/>
    <x v="1"/>
    <n v="8"/>
    <m/>
    <s v="Old Age"/>
  </r>
  <r>
    <s v="ORD-02613"/>
    <d v="2023-02-09T00:00:00"/>
    <s v="CUST69520"/>
    <s v="Vikram Pillai"/>
    <n v="18"/>
    <x v="1"/>
    <x v="2"/>
    <s v="Delhi"/>
    <x v="6"/>
    <x v="38"/>
    <n v="1"/>
    <n v="12495.08"/>
    <n v="0.27"/>
    <x v="444"/>
    <x v="444"/>
    <n v="55.06"/>
    <s v="Credit Card"/>
    <n v="5"/>
    <b v="0"/>
    <x v="1"/>
    <n v="9"/>
    <m/>
    <s v="Young Age"/>
  </r>
  <r>
    <s v="ORD-04164"/>
    <d v="2024-12-14T00:00:00"/>
    <s v="CUST96903"/>
    <s v="Deepa Kapoor"/>
    <n v="46"/>
    <x v="0"/>
    <x v="2"/>
    <s v="Amritsar"/>
    <x v="2"/>
    <x v="13"/>
    <n v="1"/>
    <n v="9449.94"/>
    <n v="0.15"/>
    <x v="445"/>
    <x v="445"/>
    <n v="32.57"/>
    <s v="UPI"/>
    <n v="1"/>
    <b v="1"/>
    <x v="0"/>
    <n v="2"/>
    <m/>
    <s v="Old Age"/>
  </r>
  <r>
    <s v="ORD-01065"/>
    <d v="2021-04-27T00:00:00"/>
    <s v="CUST39633"/>
    <s v="Aarav Mishra"/>
    <n v="35"/>
    <x v="1"/>
    <x v="0"/>
    <s v="Bhopal"/>
    <x v="5"/>
    <x v="17"/>
    <n v="8"/>
    <n v="30314.74"/>
    <n v="0.06"/>
    <x v="446"/>
    <x v="446"/>
    <n v="68.75"/>
    <s v="Credit Card"/>
    <n v="1"/>
    <b v="1"/>
    <x v="0"/>
    <n v="9"/>
    <m/>
    <s v="Mid Age"/>
  </r>
  <r>
    <s v="ORD-00656"/>
    <d v="2020-10-22T00:00:00"/>
    <s v="CUST42875"/>
    <s v="Sanjay Verma"/>
    <n v="26"/>
    <x v="0"/>
    <x v="4"/>
    <s v="Hyderabad"/>
    <x v="6"/>
    <x v="31"/>
    <n v="1"/>
    <n v="12380.73"/>
    <n v="0.24"/>
    <x v="447"/>
    <x v="447"/>
    <n v="80.23"/>
    <s v="Credit Card"/>
    <n v="4"/>
    <b v="0"/>
    <x v="3"/>
    <n v="5"/>
    <m/>
    <s v="Mid Age"/>
  </r>
  <r>
    <s v="ORD-02588"/>
    <s v="30/01/2023"/>
    <s v="CUST71632"/>
    <s v="Karan Sharma"/>
    <n v="13"/>
    <x v="1"/>
    <x v="1"/>
    <s v="Surat"/>
    <x v="6"/>
    <x v="18"/>
    <n v="4"/>
    <n v="6304.42"/>
    <n v="0.31"/>
    <x v="448"/>
    <x v="448"/>
    <n v="95.26"/>
    <s v="Credit Card"/>
    <n v="5"/>
    <b v="0"/>
    <x v="1"/>
    <n v="6"/>
    <m/>
    <s v="Young Age"/>
  </r>
  <r>
    <s v="ORD-00172"/>
    <d v="2020-03-15T00:00:00"/>
    <s v="CUST40704"/>
    <s v="Aarav Rao"/>
    <n v="16"/>
    <x v="0"/>
    <x v="3"/>
    <s v="Guwahati"/>
    <x v="4"/>
    <x v="6"/>
    <n v="2"/>
    <n v="2448.31"/>
    <n v="0.35"/>
    <x v="449"/>
    <x v="449"/>
    <n v="79.97"/>
    <s v="Credit Card"/>
    <n v="4"/>
    <b v="0"/>
    <x v="1"/>
    <n v="7"/>
    <m/>
    <s v="Young Age"/>
  </r>
  <r>
    <s v="ORD-03479"/>
    <d v="2024-02-21T00:00:00"/>
    <s v="CUST39897"/>
    <s v="Sunita Singh"/>
    <n v="30"/>
    <x v="0"/>
    <x v="4"/>
    <s v="Chennai"/>
    <x v="5"/>
    <x v="17"/>
    <n v="3"/>
    <n v="50121.13"/>
    <n v="0.25"/>
    <x v="450"/>
    <x v="450"/>
    <n v="68.489999999999995"/>
    <s v="Debit Card"/>
    <n v="5"/>
    <b v="0"/>
    <x v="3"/>
    <n v="4"/>
    <m/>
    <s v="Mid Age"/>
  </r>
  <r>
    <s v="ORD-03008"/>
    <d v="2023-07-26T00:00:00"/>
    <s v="CUST03875"/>
    <s v="Arjun Patel"/>
    <n v="35"/>
    <x v="0"/>
    <x v="2"/>
    <s v="Chandigarh"/>
    <x v="6"/>
    <x v="27"/>
    <n v="5"/>
    <n v="1956.54"/>
    <n v="0.2"/>
    <x v="451"/>
    <x v="451"/>
    <n v="60.98"/>
    <s v="UPI"/>
    <n v="3"/>
    <b v="0"/>
    <x v="1"/>
    <n v="3"/>
    <m/>
    <s v="Mid Age"/>
  </r>
  <r>
    <s v="ORD-03519"/>
    <d v="2024-03-09T00:00:00"/>
    <s v="CUST89317"/>
    <s v="Vikram Singh"/>
    <n v="28"/>
    <x v="0"/>
    <x v="2"/>
    <s v="Ludhiana"/>
    <x v="5"/>
    <x v="21"/>
    <n v="5"/>
    <n v="35958.57"/>
    <n v="0.23"/>
    <x v="452"/>
    <x v="452"/>
    <n v="45.69"/>
    <s v="UPI"/>
    <n v="1"/>
    <b v="0"/>
    <x v="1"/>
    <n v="6"/>
    <m/>
    <s v="Mid Age"/>
  </r>
  <r>
    <s v="ORD-01711"/>
    <d v="2022-02-01T00:00:00"/>
    <s v="CUST71903"/>
    <s v="Rahul Sharma"/>
    <n v="30"/>
    <x v="2"/>
    <x v="3"/>
    <s v="Bhubaneswar"/>
    <x v="1"/>
    <x v="41"/>
    <n v="10"/>
    <n v="1797.87"/>
    <n v="0.31"/>
    <x v="453"/>
    <x v="453"/>
    <n v="85.14"/>
    <s v="Cash on Delivery"/>
    <s v="N/A"/>
    <b v="0"/>
    <x v="4"/>
    <n v="4"/>
    <m/>
    <s v="Mid Age"/>
  </r>
  <r>
    <s v="ORD-01731"/>
    <d v="2022-02-08T00:00:00"/>
    <s v="CUST81381"/>
    <s v="Aarav Bose"/>
    <n v="65"/>
    <x v="1"/>
    <x v="2"/>
    <s v="Chandigarh"/>
    <x v="0"/>
    <x v="36"/>
    <n v="10"/>
    <n v="299.20999999999998"/>
    <n v="0.19"/>
    <x v="454"/>
    <x v="454"/>
    <n v="16.739999999999998"/>
    <s v="Net Banking"/>
    <n v="3"/>
    <b v="0"/>
    <x v="1"/>
    <n v="9"/>
    <m/>
    <s v="Old Age"/>
  </r>
  <r>
    <s v="ORD-02322"/>
    <d v="2022-10-05T00:00:00"/>
    <s v="CUST93809"/>
    <s v="Kavya Sharma"/>
    <n v="44"/>
    <x v="0"/>
    <x v="0"/>
    <s v="Indore"/>
    <x v="2"/>
    <x v="24"/>
    <n v="8"/>
    <n v="32195.15"/>
    <n v="0.25"/>
    <x v="455"/>
    <x v="455"/>
    <n v="67.87"/>
    <s v="Cash on Delivery"/>
    <n v="2"/>
    <b v="0"/>
    <x v="1"/>
    <n v="4"/>
    <m/>
    <s v="Old Age"/>
  </r>
  <r>
    <s v="ORD-01659"/>
    <d v="2022-01-09T00:00:00"/>
    <s v="CUST72759"/>
    <s v="Pooja Patel"/>
    <n v="26"/>
    <x v="0"/>
    <x v="4"/>
    <s v="Hyderabad"/>
    <x v="2"/>
    <x v="13"/>
    <n v="7"/>
    <n v="2529.87"/>
    <n v="0.12"/>
    <x v="456"/>
    <x v="456"/>
    <n v="90.47"/>
    <s v="EMI"/>
    <n v="5"/>
    <b v="0"/>
    <x v="1"/>
    <s v="N/A"/>
    <m/>
    <s v="Mid Age"/>
  </r>
  <r>
    <s v="ORD-02365"/>
    <d v="2022-10-18T00:00:00"/>
    <s v="CUST12074"/>
    <s v="Ritu Joshi"/>
    <n v="51"/>
    <x v="2"/>
    <x v="2"/>
    <s v="Amritsar"/>
    <x v="6"/>
    <x v="20"/>
    <n v="10"/>
    <n v="14562.6"/>
    <n v="0.31"/>
    <x v="457"/>
    <x v="457"/>
    <n v="33.549999999999997"/>
    <s v="Cash on Delivery"/>
    <n v="5"/>
    <b v="0"/>
    <x v="1"/>
    <n v="4"/>
    <m/>
    <s v="Old Age"/>
  </r>
  <r>
    <s v="ORD-00115"/>
    <d v="2020-02-12T00:00:00"/>
    <s v="CUST05374"/>
    <s v="Aditya Chatterjee"/>
    <n v="39"/>
    <x v="2"/>
    <x v="4"/>
    <s v="Chennai"/>
    <x v="1"/>
    <x v="23"/>
    <n v="6"/>
    <n v="1270.3599999999999"/>
    <n v="0.06"/>
    <x v="458"/>
    <x v="458"/>
    <n v="62.46"/>
    <s v="EMI"/>
    <n v="3"/>
    <b v="0"/>
    <x v="1"/>
    <n v="8"/>
    <m/>
    <s v="Mid Age"/>
  </r>
  <r>
    <s v="ORD-01557"/>
    <s v="29/11/2021"/>
    <s v="CUST23869"/>
    <s v="Amit Reddy"/>
    <n v="54"/>
    <x v="0"/>
    <x v="4"/>
    <s v="Bangalore"/>
    <x v="3"/>
    <x v="30"/>
    <n v="3"/>
    <n v="789.1"/>
    <n v="0.18"/>
    <x v="459"/>
    <x v="459"/>
    <n v="72.430000000000007"/>
    <s v="UPI"/>
    <n v="3"/>
    <b v="0"/>
    <x v="3"/>
    <n v="2"/>
    <m/>
    <s v="Old Age"/>
  </r>
  <r>
    <s v="ORD-00800"/>
    <d v="2020-12-30T00:00:00"/>
    <s v="CUST77423"/>
    <s v="Priya Shah"/>
    <n v="33"/>
    <x v="0"/>
    <x v="3"/>
    <s v="Patna"/>
    <x v="5"/>
    <x v="25"/>
    <n v="7"/>
    <n v="56504.32"/>
    <n v="0.3"/>
    <x v="460"/>
    <x v="460"/>
    <n v="53.78"/>
    <s v="Cash on Delivery"/>
    <n v="5"/>
    <b v="0"/>
    <x v="1"/>
    <n v="1"/>
    <m/>
    <s v="Mid Age"/>
  </r>
  <r>
    <s v="ORD-00020"/>
    <d v="2020-08-01T00:00:00"/>
    <s v="CUST05879"/>
    <s v="Nisha Nair"/>
    <n v="12"/>
    <x v="0"/>
    <x v="0"/>
    <s v="Nagpur"/>
    <x v="6"/>
    <x v="18"/>
    <n v="2"/>
    <n v="2448.88"/>
    <n v="0.08"/>
    <x v="461"/>
    <x v="461"/>
    <n v="47.54"/>
    <s v="Cash on Delivery"/>
    <n v="3"/>
    <b v="0"/>
    <x v="1"/>
    <n v="9"/>
    <m/>
    <s v="Young Age"/>
  </r>
  <r>
    <s v="ORD-03912"/>
    <d v="2024-08-17T00:00:00"/>
    <s v="CUST72269"/>
    <s v="Ritu Gupta"/>
    <n v="41"/>
    <x v="2"/>
    <x v="4"/>
    <s v="Bangalore"/>
    <x v="5"/>
    <x v="17"/>
    <n v="3"/>
    <n v="51479.19"/>
    <n v="0.25"/>
    <x v="462"/>
    <x v="462"/>
    <n v="55.15"/>
    <s v="UPI"/>
    <s v="N/A"/>
    <b v="0"/>
    <x v="2"/>
    <n v="3"/>
    <m/>
    <s v="Old Age"/>
  </r>
  <r>
    <s v="ORD-04036"/>
    <d v="2024-10-17T00:00:00"/>
    <s v="CUST12279"/>
    <s v="Meera Patel"/>
    <n v="999"/>
    <x v="0"/>
    <x v="2"/>
    <s v="Ludhiana"/>
    <x v="0"/>
    <x v="36"/>
    <n v="8"/>
    <n v="184.25"/>
    <n v="0.21"/>
    <x v="463"/>
    <x v="463"/>
    <n v="46.09"/>
    <s v="Credit Card"/>
    <s v="N/A"/>
    <b v="0"/>
    <x v="4"/>
    <n v="6"/>
    <m/>
    <s v="Old Age"/>
  </r>
  <r>
    <s v="ORD-02381"/>
    <d v="2022-10-28T00:00:00"/>
    <s v="CUST35452"/>
    <s v="Rahul Singh"/>
    <n v="36"/>
    <x v="2"/>
    <x v="2"/>
    <s v="Ludhiana"/>
    <x v="5"/>
    <x v="25"/>
    <n v="6"/>
    <n v="6441.62"/>
    <n v="0.27"/>
    <x v="464"/>
    <x v="464"/>
    <n v="53.2"/>
    <s v="EMI"/>
    <n v="3"/>
    <b v="0"/>
    <x v="3"/>
    <n v="8"/>
    <m/>
    <s v="Mid Age"/>
  </r>
  <r>
    <s v="ORD-01862"/>
    <d v="2022-04-02T00:00:00"/>
    <s v="CUST38887"/>
    <s v="Aditya Nair"/>
    <n v="39"/>
    <x v="0"/>
    <x v="1"/>
    <s v="Ahmedabad"/>
    <x v="0"/>
    <x v="9"/>
    <n v="3"/>
    <n v="475.6"/>
    <n v="0.18"/>
    <x v="465"/>
    <x v="465"/>
    <n v="65.63"/>
    <s v="Credit Card"/>
    <n v="1"/>
    <b v="0"/>
    <x v="4"/>
    <n v="10"/>
    <m/>
    <s v="Mid Age"/>
  </r>
  <r>
    <s v="ORD-04033"/>
    <d v="2024-10-16T00:00:00"/>
    <s v="CUST01456"/>
    <s v="Ananya Singh"/>
    <n v="40"/>
    <x v="0"/>
    <x v="0"/>
    <s v="Bhopal"/>
    <x v="2"/>
    <x v="13"/>
    <n v="2"/>
    <n v="8590.5300000000007"/>
    <n v="0.23"/>
    <x v="466"/>
    <x v="466"/>
    <n v="40.590000000000003"/>
    <s v="Credit Card"/>
    <n v="5"/>
    <b v="0"/>
    <x v="1"/>
    <n v="6"/>
    <m/>
    <s v="Mid Age"/>
  </r>
  <r>
    <s v="ORD-04061"/>
    <d v="2024-10-27T00:00:00"/>
    <s v="CUST83988"/>
    <s v="Arjun Bose"/>
    <n v="18"/>
    <x v="2"/>
    <x v="2"/>
    <s v="Ludhiana"/>
    <x v="2"/>
    <x v="3"/>
    <n v="1"/>
    <n v="14589.01"/>
    <n v="0.2"/>
    <x v="467"/>
    <x v="467"/>
    <n v="52.97"/>
    <s v="Credit Card"/>
    <n v="3"/>
    <b v="0"/>
    <x v="1"/>
    <n v="1"/>
    <m/>
    <s v="Young Age"/>
  </r>
  <r>
    <s v="ORD-02662"/>
    <d v="2023-02-27T00:00:00"/>
    <s v="CUST02913"/>
    <s v="Nisha Kumar"/>
    <n v="32"/>
    <x v="2"/>
    <x v="3"/>
    <s v="Kolkata"/>
    <x v="3"/>
    <x v="30"/>
    <n v="2"/>
    <n v="484.9"/>
    <n v="0.1"/>
    <x v="468"/>
    <x v="468"/>
    <n v="69.41"/>
    <s v="Net Banking"/>
    <n v="1"/>
    <b v="0"/>
    <x v="1"/>
    <n v="10"/>
    <m/>
    <s v="Mid Age"/>
  </r>
  <r>
    <s v="ORD-01421"/>
    <d v="2021-10-02T00:00:00"/>
    <s v="CUST32538"/>
    <s v="Amit Rao"/>
    <n v="24"/>
    <x v="0"/>
    <x v="4"/>
    <s v="Bangalore"/>
    <x v="5"/>
    <x v="21"/>
    <n v="10"/>
    <n v="23157.51"/>
    <n v="0.12"/>
    <x v="469"/>
    <x v="469"/>
    <n v="53.6"/>
    <s v="Net Banking"/>
    <n v="3"/>
    <b v="0"/>
    <x v="1"/>
    <n v="4"/>
    <m/>
    <s v="Young Age"/>
  </r>
  <r>
    <s v="ORD-03373"/>
    <d v="2023-12-30T00:00:00"/>
    <s v="CUST23969"/>
    <s v="Rahul Mehta"/>
    <n v="27"/>
    <x v="1"/>
    <x v="0"/>
    <s v="Raipur"/>
    <x v="3"/>
    <x v="32"/>
    <n v="9"/>
    <n v="609.86"/>
    <n v="0.14000000000000001"/>
    <x v="470"/>
    <x v="470"/>
    <n v="54.96"/>
    <s v="EMI"/>
    <s v="N/A"/>
    <b v="0"/>
    <x v="4"/>
    <n v="1"/>
    <m/>
    <s v="Mid Age"/>
  </r>
  <r>
    <s v="ORD-02686"/>
    <d v="2023-03-11T00:00:00"/>
    <s v="CUST63976"/>
    <s v="Vikram Verma"/>
    <n v="42"/>
    <x v="1"/>
    <x v="4"/>
    <s v="Hyderabad"/>
    <x v="4"/>
    <x v="16"/>
    <n v="8"/>
    <n v="570.17999999999995"/>
    <n v="0.04"/>
    <x v="471"/>
    <x v="471"/>
    <n v="56.28"/>
    <s v="Credit Card"/>
    <n v="2"/>
    <b v="0"/>
    <x v="1"/>
    <n v="4"/>
    <m/>
    <s v="Old Age"/>
  </r>
  <r>
    <s v="ORD-02630"/>
    <d v="2023-02-14T00:00:00"/>
    <s v="CUST21078"/>
    <s v="Meera Kapoor"/>
    <n v="33"/>
    <x v="2"/>
    <x v="2"/>
    <s v="Ludhiana"/>
    <x v="5"/>
    <x v="21"/>
    <n v="9"/>
    <n v="41854.410000000003"/>
    <n v="0.33"/>
    <x v="472"/>
    <x v="472"/>
    <n v="42.16"/>
    <s v="Debit Card"/>
    <n v="2"/>
    <b v="0"/>
    <x v="1"/>
    <n v="8"/>
    <m/>
    <s v="Mid Age"/>
  </r>
  <r>
    <s v="ORD-01893"/>
    <d v="2022-04-16T00:00:00"/>
    <s v="CUST98008"/>
    <s v="Amit Singh"/>
    <n v="39"/>
    <x v="2"/>
    <x v="0"/>
    <s v="Bhopal"/>
    <x v="4"/>
    <x v="14"/>
    <n v="3"/>
    <n v="3710.29"/>
    <n v="0.05"/>
    <x v="473"/>
    <x v="473"/>
    <n v="62.88"/>
    <s v="Cash on Delivery"/>
    <n v="4"/>
    <b v="0"/>
    <x v="1"/>
    <n v="4"/>
    <m/>
    <s v="Mid Age"/>
  </r>
  <r>
    <s v="ORD-01702"/>
    <d v="2022-01-30T00:00:00"/>
    <s v="CUST81394"/>
    <s v="Nikhil Kumar"/>
    <n v="27"/>
    <x v="1"/>
    <x v="2"/>
    <s v="Amritsar"/>
    <x v="1"/>
    <x v="23"/>
    <n v="10"/>
    <n v="2477.1"/>
    <n v="0.19"/>
    <x v="474"/>
    <x v="474"/>
    <n v="24.71"/>
    <s v="Credit Card"/>
    <n v="5"/>
    <b v="0"/>
    <x v="3"/>
    <n v="8"/>
    <m/>
    <s v="Mid Age"/>
  </r>
  <r>
    <s v="ORD-00781"/>
    <d v="2020-12-21T00:00:00"/>
    <s v="CUST92097"/>
    <s v="Nisha Gupta"/>
    <n v="44"/>
    <x v="1"/>
    <x v="4"/>
    <s v="Hyderabad"/>
    <x v="6"/>
    <x v="31"/>
    <n v="8"/>
    <n v="12540.64"/>
    <n v="0.16"/>
    <x v="475"/>
    <x v="475"/>
    <n v="44.66"/>
    <s v="UPI"/>
    <n v="1"/>
    <b v="0"/>
    <x v="1"/>
    <n v="8"/>
    <m/>
    <s v="Old Age"/>
  </r>
  <r>
    <s v="ORD-02838"/>
    <d v="2023-05-20T00:00:00"/>
    <s v="CUST32623"/>
    <s v="Ananya Verma"/>
    <n v="17"/>
    <x v="2"/>
    <x v="3"/>
    <s v="Patna"/>
    <x v="1"/>
    <x v="41"/>
    <n v="8"/>
    <n v="211.05"/>
    <n v="0.17"/>
    <x v="476"/>
    <x v="476"/>
    <n v="75.69"/>
    <s v="Net Banking"/>
    <s v="N/A"/>
    <b v="1"/>
    <x v="0"/>
    <n v="3"/>
    <m/>
    <s v="Young Age"/>
  </r>
  <r>
    <s v="ORD-00983"/>
    <d v="2021-03-24T00:00:00"/>
    <s v="CUST01477"/>
    <s v="Karan Mishra"/>
    <n v="49"/>
    <x v="2"/>
    <x v="2"/>
    <s v="Delhi"/>
    <x v="6"/>
    <x v="38"/>
    <n v="7"/>
    <n v="2782.21"/>
    <n v="0.21"/>
    <x v="477"/>
    <x v="477"/>
    <n v="60.88"/>
    <s v="Net Banking"/>
    <n v="3"/>
    <b v="0"/>
    <x v="1"/>
    <n v="4"/>
    <m/>
    <s v="Old Age"/>
  </r>
  <r>
    <s v="ORD-01403"/>
    <d v="2021-09-25T00:00:00"/>
    <s v="CUST02694"/>
    <s v="Priya Chatterjee"/>
    <n v="19"/>
    <x v="1"/>
    <x v="0"/>
    <s v="Raipur"/>
    <x v="1"/>
    <x v="23"/>
    <n v="7"/>
    <n v="210.31"/>
    <n v="0.23"/>
    <x v="478"/>
    <x v="478"/>
    <n v="67.459999999999994"/>
    <s v="UPI"/>
    <n v="5"/>
    <b v="1"/>
    <x v="0"/>
    <n v="6"/>
    <m/>
    <s v="Young Age"/>
  </r>
  <r>
    <s v="ORD-03034"/>
    <d v="2023-08-05T00:00:00"/>
    <s v="CUST76477"/>
    <s v="Sunita Bose"/>
    <n v="33"/>
    <x v="2"/>
    <x v="3"/>
    <s v="Guwahati"/>
    <x v="2"/>
    <x v="13"/>
    <n v="2"/>
    <n v="27227.5"/>
    <n v="0.27"/>
    <x v="479"/>
    <x v="479"/>
    <n v="69.069999999999993"/>
    <s v="Net Banking"/>
    <n v="5"/>
    <b v="0"/>
    <x v="1"/>
    <n v="9"/>
    <m/>
    <s v="Mid Age"/>
  </r>
  <r>
    <s v="ORD-03420"/>
    <d v="2024-01-22T00:00:00"/>
    <s v="CUST83939"/>
    <s v="Priya Bose"/>
    <n v="49"/>
    <x v="1"/>
    <x v="0"/>
    <s v="Indore"/>
    <x v="6"/>
    <x v="27"/>
    <n v="2"/>
    <n v="11637.71"/>
    <n v="0.03"/>
    <x v="480"/>
    <x v="480"/>
    <n v="49.76"/>
    <s v="EMI"/>
    <n v="4"/>
    <b v="1"/>
    <x v="0"/>
    <n v="6"/>
    <m/>
    <s v="Old Age"/>
  </r>
  <r>
    <s v="ORD-02386"/>
    <d v="2022-10-29T00:00:00"/>
    <s v="CUST85891"/>
    <s v="Aditya Mishra"/>
    <n v="30"/>
    <x v="1"/>
    <x v="4"/>
    <s v="Hyderabad"/>
    <x v="3"/>
    <x v="5"/>
    <n v="10"/>
    <n v="1494.95"/>
    <n v="0.38"/>
    <x v="481"/>
    <x v="481"/>
    <n v="81.37"/>
    <s v="Credit Card"/>
    <s v="N/A"/>
    <b v="1"/>
    <x v="0"/>
    <n v="6"/>
    <m/>
    <s v="Mid Age"/>
  </r>
  <r>
    <s v="ORD-00379"/>
    <d v="2020-06-10T00:00:00"/>
    <s v="CUST57932"/>
    <s v="Rohan Bhat"/>
    <n v="24"/>
    <x v="1"/>
    <x v="0"/>
    <s v="Bhopal"/>
    <x v="4"/>
    <x v="26"/>
    <n v="2"/>
    <n v="1835.19"/>
    <n v="0.03"/>
    <x v="482"/>
    <x v="482"/>
    <n v="37.119999999999997"/>
    <s v="EMI"/>
    <n v="5"/>
    <b v="0"/>
    <x v="1"/>
    <n v="2"/>
    <m/>
    <s v="Young Age"/>
  </r>
  <r>
    <s v="ORD-00734"/>
    <d v="2020-12-01T00:00:00"/>
    <s v="CUST76439"/>
    <s v="Aarav Mishra"/>
    <n v="25"/>
    <x v="0"/>
    <x v="0"/>
    <s v="Indore"/>
    <x v="4"/>
    <x v="14"/>
    <n v="2"/>
    <n v="3263.53"/>
    <n v="0.28000000000000003"/>
    <x v="483"/>
    <x v="483"/>
    <n v="57.51"/>
    <s v="Net Banking"/>
    <n v="2"/>
    <b v="0"/>
    <x v="1"/>
    <n v="10"/>
    <m/>
    <s v="Young Age"/>
  </r>
  <r>
    <s v="ORD-01911"/>
    <d v="2022-04-24T00:00:00"/>
    <s v="CUST11183"/>
    <s v="Aditya Patel"/>
    <n v="19"/>
    <x v="2"/>
    <x v="3"/>
    <s v="Kolkata"/>
    <x v="3"/>
    <x v="30"/>
    <n v="5"/>
    <n v="610.98"/>
    <n v="0.16"/>
    <x v="484"/>
    <x v="484"/>
    <n v="53.99"/>
    <s v="Cash on Delivery"/>
    <n v="4"/>
    <b v="0"/>
    <x v="1"/>
    <n v="4"/>
    <m/>
    <s v="Young Age"/>
  </r>
  <r>
    <s v="ORD-02647"/>
    <d v="2023-02-18T00:00:00"/>
    <s v="CUST98321"/>
    <s v="Ananya Shah"/>
    <n v="30"/>
    <x v="1"/>
    <x v="2"/>
    <s v="Delhi"/>
    <x v="3"/>
    <x v="11"/>
    <n v="4"/>
    <n v="1488.05"/>
    <n v="0.16"/>
    <x v="485"/>
    <x v="485"/>
    <n v="33.950000000000003"/>
    <s v="Debit Card"/>
    <n v="3"/>
    <b v="1"/>
    <x v="0"/>
    <n v="9"/>
    <m/>
    <s v="Mid Age"/>
  </r>
  <r>
    <s v="ORD-00664"/>
    <d v="2020-10-28T00:00:00"/>
    <s v="CUST76842"/>
    <s v="Shreya Gupta"/>
    <n v="47"/>
    <x v="2"/>
    <x v="4"/>
    <s v="Hyderabad"/>
    <x v="3"/>
    <x v="32"/>
    <n v="8"/>
    <n v="513.63"/>
    <n v="0.17"/>
    <x v="486"/>
    <x v="486"/>
    <n v="48.54"/>
    <s v="Cash on Delivery"/>
    <n v="4"/>
    <b v="0"/>
    <x v="1"/>
    <n v="1"/>
    <m/>
    <s v="Old Age"/>
  </r>
  <r>
    <s v="ORD-00346"/>
    <d v="2020-05-28T00:00:00"/>
    <s v="CUST21580"/>
    <s v="Pooja Bhat"/>
    <n v="35"/>
    <x v="0"/>
    <x v="3"/>
    <s v="Kolkata"/>
    <x v="0"/>
    <x v="0"/>
    <n v="9"/>
    <n v="213.6"/>
    <n v="0.32"/>
    <x v="487"/>
    <x v="487"/>
    <n v="101.52"/>
    <s v="Net Banking"/>
    <n v="4"/>
    <b v="0"/>
    <x v="3"/>
    <n v="4"/>
    <m/>
    <s v="Mid Age"/>
  </r>
  <r>
    <s v="ORD-03434"/>
    <d v="2024-01-29T00:00:00"/>
    <s v="CUST36372"/>
    <s v="Vikram Gupta"/>
    <n v="26"/>
    <x v="0"/>
    <x v="2"/>
    <s v="Amritsar"/>
    <x v="1"/>
    <x v="1"/>
    <n v="4"/>
    <n v="1120.04"/>
    <n v="0"/>
    <x v="488"/>
    <x v="488"/>
    <n v="70.2"/>
    <s v="Credit Card"/>
    <n v="5"/>
    <b v="0"/>
    <x v="1"/>
    <n v="6"/>
    <m/>
    <s v="Mid Age"/>
  </r>
  <r>
    <s v="ORD-02070"/>
    <d v="2022-07-02T00:00:00"/>
    <s v="CUST88932"/>
    <s v="Aditya Pillai"/>
    <n v="42"/>
    <x v="2"/>
    <x v="2"/>
    <s v="Ludhiana"/>
    <x v="5"/>
    <x v="17"/>
    <n v="5"/>
    <n v="14814.19"/>
    <n v="0"/>
    <x v="489"/>
    <x v="489"/>
    <n v="56.42"/>
    <s v="Debit Card"/>
    <n v="3"/>
    <b v="0"/>
    <x v="2"/>
    <n v="1"/>
    <m/>
    <s v="Old Age"/>
  </r>
  <r>
    <s v="ORD-00495"/>
    <d v="2020-08-05T00:00:00"/>
    <s v="CUST95892"/>
    <s v="Vikram Gupta"/>
    <n v="40"/>
    <x v="0"/>
    <x v="3"/>
    <s v="Guwahati"/>
    <x v="0"/>
    <x v="34"/>
    <n v="4"/>
    <n v="57.97"/>
    <n v="0.1"/>
    <x v="490"/>
    <x v="490"/>
    <n v="74.150000000000006"/>
    <s v="Net Banking"/>
    <n v="3"/>
    <b v="0"/>
    <x v="1"/>
    <n v="9"/>
    <m/>
    <s v="Mid Age"/>
  </r>
  <r>
    <s v="ORD-01008"/>
    <d v="2021-04-01T00:00:00"/>
    <s v="CUST58835"/>
    <s v="Meera Iyer"/>
    <n v="45"/>
    <x v="1"/>
    <x v="0"/>
    <s v="Bhopal"/>
    <x v="0"/>
    <x v="36"/>
    <n v="2"/>
    <n v="438.16"/>
    <n v="0.25"/>
    <x v="491"/>
    <x v="491"/>
    <n v="76.819999999999993"/>
    <s v="Debit Card"/>
    <n v="5"/>
    <b v="0"/>
    <x v="1"/>
    <n v="2"/>
    <m/>
    <s v="Old Age"/>
  </r>
  <r>
    <s v="ORD-01435"/>
    <d v="2021-10-08T00:00:00"/>
    <s v="CUST41321"/>
    <s v="Ritu Bhat"/>
    <n v="23"/>
    <x v="1"/>
    <x v="2"/>
    <s v="Chandigarh"/>
    <x v="0"/>
    <x v="4"/>
    <n v="5"/>
    <n v="312.3"/>
    <n v="0.12"/>
    <x v="492"/>
    <x v="492"/>
    <n v="25.67"/>
    <s v="Cash on Delivery"/>
    <n v="3"/>
    <b v="0"/>
    <x v="1"/>
    <n v="8"/>
    <m/>
    <s v="Young Age"/>
  </r>
  <r>
    <s v="ORD-03713"/>
    <d v="2024-07-06T00:00:00"/>
    <s v="CUST56250"/>
    <s v="Shreya Shah"/>
    <n v="26"/>
    <x v="2"/>
    <x v="4"/>
    <s v="Bangalore"/>
    <x v="4"/>
    <x v="12"/>
    <n v="8"/>
    <n v="3182.92"/>
    <n v="0.17"/>
    <x v="493"/>
    <x v="493"/>
    <n v="81.77"/>
    <s v="UPI"/>
    <n v="5"/>
    <b v="0"/>
    <x v="1"/>
    <n v="9"/>
    <m/>
    <s v="Mid Age"/>
  </r>
  <r>
    <s v="ORD-02022"/>
    <d v="2022-06-10T00:00:00"/>
    <s v="CUST15844"/>
    <s v="Rohan Verma"/>
    <n v="39"/>
    <x v="2"/>
    <x v="3"/>
    <s v="Guwahati"/>
    <x v="4"/>
    <x v="7"/>
    <n v="3"/>
    <n v="1256.1600000000001"/>
    <n v="0.05"/>
    <x v="494"/>
    <x v="494"/>
    <n v="90.36"/>
    <s v="EMI"/>
    <n v="5"/>
    <b v="0"/>
    <x v="1"/>
    <n v="9"/>
    <m/>
    <s v="Mid Age"/>
  </r>
  <r>
    <s v="ORD-00219"/>
    <d v="2020-04-05T00:00:00"/>
    <s v="CUST81881"/>
    <s v="Sanjay Mishra"/>
    <s v="N/A"/>
    <x v="1"/>
    <x v="0"/>
    <s v="Indore"/>
    <x v="1"/>
    <x v="29"/>
    <n v="9"/>
    <n v="1356.81"/>
    <n v="0.01"/>
    <x v="495"/>
    <x v="495"/>
    <n v="76.63"/>
    <s v="Credit Card"/>
    <n v="3"/>
    <b v="0"/>
    <x v="1"/>
    <n v="4"/>
    <m/>
    <s v="Old Age"/>
  </r>
  <r>
    <s v="ORD-00138"/>
    <d v="2020-02-24T00:00:00"/>
    <s v="CUST54691"/>
    <s v="Priya Shah"/>
    <n v="27"/>
    <x v="2"/>
    <x v="3"/>
    <s v="Patna"/>
    <x v="1"/>
    <x v="1"/>
    <n v="3"/>
    <n v="1655.54"/>
    <n v="0.25"/>
    <x v="496"/>
    <x v="496"/>
    <n v="81.69"/>
    <s v="UPI"/>
    <n v="3"/>
    <b v="0"/>
    <x v="1"/>
    <n v="5"/>
    <m/>
    <s v="Mid Age"/>
  </r>
  <r>
    <s v="ORD-02813"/>
    <d v="2023-05-04T00:00:00"/>
    <s v="CUST45426"/>
    <s v="Arjun Patel"/>
    <n v="20"/>
    <x v="0"/>
    <x v="4"/>
    <s v="Kochi"/>
    <x v="1"/>
    <x v="10"/>
    <n v="6"/>
    <n v="2373.35"/>
    <n v="0.3"/>
    <x v="497"/>
    <x v="497"/>
    <n v="54.97"/>
    <s v="Cash on Delivery"/>
    <n v="3"/>
    <b v="0"/>
    <x v="1"/>
    <n v="3"/>
    <m/>
    <s v="Young Age"/>
  </r>
  <r>
    <s v="ORD-02397"/>
    <d v="2022-11-02T00:00:00"/>
    <s v="CUST53890"/>
    <s v="Kavya Kapoor"/>
    <n v="46"/>
    <x v="0"/>
    <x v="2"/>
    <s v="Chandigarh"/>
    <x v="4"/>
    <x v="14"/>
    <n v="3"/>
    <n v="1457.48"/>
    <n v="0.04"/>
    <x v="498"/>
    <x v="498"/>
    <n v="47.06"/>
    <s v="Credit Card"/>
    <n v="5"/>
    <b v="0"/>
    <x v="1"/>
    <n v="10"/>
    <m/>
    <s v="Old Age"/>
  </r>
  <r>
    <s v="ORD-00617"/>
    <d v="2020-10-03T00:00:00"/>
    <s v="CUST56731"/>
    <s v="Rohan Bhat"/>
    <n v="52"/>
    <x v="2"/>
    <x v="4"/>
    <s v="Bangalore"/>
    <x v="5"/>
    <x v="33"/>
    <n v="4"/>
    <n v="72305.61"/>
    <n v="0.03"/>
    <x v="499"/>
    <x v="499"/>
    <n v="54.29"/>
    <s v="Debit Card"/>
    <n v="4"/>
    <b v="1"/>
    <x v="0"/>
    <n v="10"/>
    <m/>
    <s v="Old Age"/>
  </r>
  <r>
    <s v="ORD-00973"/>
    <d v="2021-03-20T00:00:00"/>
    <s v="CUST18672"/>
    <s v="Rahul Rao"/>
    <n v="12"/>
    <x v="0"/>
    <x v="1"/>
    <s v="Mumbai"/>
    <x v="1"/>
    <x v="23"/>
    <n v="3"/>
    <n v="956.76"/>
    <n v="0.28000000000000003"/>
    <x v="500"/>
    <x v="500"/>
    <n v="89.77"/>
    <s v="Credit Card"/>
    <s v="N/A"/>
    <b v="0"/>
    <x v="1"/>
    <n v="9"/>
    <m/>
    <s v="Young Age"/>
  </r>
  <r>
    <s v="ORD-03961"/>
    <d v="2024-09-04T00:00:00"/>
    <s v="CUST41469"/>
    <s v="Ananya Singh"/>
    <n v="28"/>
    <x v="1"/>
    <x v="1"/>
    <s v="Mumbai"/>
    <x v="5"/>
    <x v="39"/>
    <n v="3"/>
    <n v="57941.59"/>
    <n v="0.17"/>
    <x v="501"/>
    <x v="501"/>
    <n v="70.62"/>
    <s v="Credit Card"/>
    <n v="2"/>
    <b v="1"/>
    <x v="0"/>
    <n v="5"/>
    <m/>
    <s v="Mid Age"/>
  </r>
  <r>
    <s v="ORD-04195"/>
    <d v="2024-12-28T00:00:00"/>
    <s v="CUST13220"/>
    <s v="Ritu Gupta"/>
    <n v="36"/>
    <x v="0"/>
    <x v="3"/>
    <s v="Bhubaneswar"/>
    <x v="2"/>
    <x v="28"/>
    <n v="9"/>
    <n v="21875.15"/>
    <n v="0.01"/>
    <x v="502"/>
    <x v="502"/>
    <n v="87.08"/>
    <s v="Credit Card"/>
    <n v="4"/>
    <b v="0"/>
    <x v="1"/>
    <n v="10"/>
    <m/>
    <s v="Mid Age"/>
  </r>
  <r>
    <s v="ORD-03605"/>
    <d v="2024-04-19T00:00:00"/>
    <s v="CUST13355"/>
    <s v="Aarav Rao"/>
    <n v="31"/>
    <x v="0"/>
    <x v="1"/>
    <s v="Surat"/>
    <x v="5"/>
    <x v="17"/>
    <n v="5"/>
    <n v="48881.01"/>
    <n v="0.28999999999999998"/>
    <x v="503"/>
    <x v="503"/>
    <n v="74.540000000000006"/>
    <s v="UPI"/>
    <n v="4"/>
    <b v="0"/>
    <x v="4"/>
    <n v="2"/>
    <m/>
    <s v="Mid Age"/>
  </r>
  <r>
    <s v="ORD-01381"/>
    <d v="2021-09-15T00:00:00"/>
    <s v="CUST67856"/>
    <s v="Ananya Shah"/>
    <n v="46"/>
    <x v="0"/>
    <x v="3"/>
    <s v="Bhubaneswar"/>
    <x v="3"/>
    <x v="19"/>
    <n v="1"/>
    <n v="1391.59"/>
    <n v="0.04"/>
    <x v="504"/>
    <x v="504"/>
    <n v="84.05"/>
    <s v="Net Banking"/>
    <n v="4"/>
    <b v="0"/>
    <x v="4"/>
    <n v="5"/>
    <m/>
    <s v="Old Age"/>
  </r>
  <r>
    <s v="ORD-02719"/>
    <d v="2023-03-25T00:00:00"/>
    <s v="CUST07357"/>
    <s v="Meera Nair"/>
    <n v="24"/>
    <x v="2"/>
    <x v="1"/>
    <s v="Surat"/>
    <x v="2"/>
    <x v="3"/>
    <n v="6"/>
    <n v="16778.259999999998"/>
    <n v="0.34"/>
    <x v="505"/>
    <x v="505"/>
    <n v="68.680000000000007"/>
    <s v="UPI"/>
    <n v="3"/>
    <b v="0"/>
    <x v="1"/>
    <n v="9"/>
    <m/>
    <s v="Young Age"/>
  </r>
  <r>
    <s v="ORD-00779"/>
    <d v="2020-12-19T00:00:00"/>
    <s v="CUST99814"/>
    <s v="Sunita Reddy"/>
    <n v="51"/>
    <x v="2"/>
    <x v="2"/>
    <s v="Amritsar"/>
    <x v="5"/>
    <x v="25"/>
    <n v="9"/>
    <n v="59205.69"/>
    <n v="0.28999999999999998"/>
    <x v="506"/>
    <x v="506"/>
    <n v="68.680000000000007"/>
    <s v="Debit Card"/>
    <n v="4"/>
    <b v="0"/>
    <x v="1"/>
    <n v="8"/>
    <m/>
    <s v="Old Age"/>
  </r>
  <r>
    <s v="ORD-02925"/>
    <s v="19/06/2023"/>
    <s v="CUST97817"/>
    <s v="Ritu Mishra"/>
    <n v="20"/>
    <x v="0"/>
    <x v="3"/>
    <s v="Patna"/>
    <x v="5"/>
    <x v="39"/>
    <n v="10"/>
    <n v="54102.6"/>
    <n v="0.36"/>
    <x v="507"/>
    <x v="507"/>
    <n v="73.13"/>
    <s v="Debit Card"/>
    <s v="N/A"/>
    <b v="0"/>
    <x v="1"/>
    <n v="7"/>
    <m/>
    <s v="Young Age"/>
  </r>
  <r>
    <s v="ORD-04101"/>
    <d v="2024-11-16T00:00:00"/>
    <s v="CUST53114"/>
    <s v="Kavya Bose"/>
    <n v="35"/>
    <x v="2"/>
    <x v="1"/>
    <s v="Pune"/>
    <x v="5"/>
    <x v="17"/>
    <n v="3"/>
    <n v="36271.47"/>
    <n v="0.08"/>
    <x v="508"/>
    <x v="508"/>
    <n v="64.31"/>
    <s v="Credit Card"/>
    <n v="2"/>
    <b v="1"/>
    <x v="0"/>
    <n v="10"/>
    <m/>
    <s v="Mid Age"/>
  </r>
  <r>
    <s v="ORD-03749"/>
    <d v="2024-06-21T00:00:00"/>
    <s v="CUST71536"/>
    <s v="Amit Bose"/>
    <n v="49"/>
    <x v="1"/>
    <x v="2"/>
    <s v="Ludhiana"/>
    <x v="3"/>
    <x v="30"/>
    <n v="6"/>
    <n v="587.29999999999995"/>
    <n v="0.23"/>
    <x v="509"/>
    <x v="509"/>
    <n v="52.24"/>
    <s v="Net Banking"/>
    <n v="5"/>
    <b v="0"/>
    <x v="1"/>
    <n v="5"/>
    <m/>
    <s v="Old Age"/>
  </r>
  <r>
    <s v="ORD-01544"/>
    <d v="2021-11-23T00:00:00"/>
    <s v="CUST03481"/>
    <s v="Rahul Mishra"/>
    <n v="23"/>
    <x v="1"/>
    <x v="4"/>
    <s v="Chennai"/>
    <x v="2"/>
    <x v="3"/>
    <n v="7"/>
    <n v="32709.32"/>
    <n v="0.15"/>
    <x v="510"/>
    <x v="510"/>
    <n v="86.06"/>
    <s v="Cash on Delivery"/>
    <n v="2"/>
    <b v="0"/>
    <x v="1"/>
    <n v="1"/>
    <m/>
    <s v="Young Age"/>
  </r>
  <r>
    <s v="ORD-01040"/>
    <d v="2021-04-17T00:00:00"/>
    <s v="CUST99976"/>
    <s v="Meera Kumar"/>
    <n v="20"/>
    <x v="0"/>
    <x v="0"/>
    <s v="Indore"/>
    <x v="0"/>
    <x v="9"/>
    <n v="7"/>
    <n v="228.64"/>
    <n v="0.17"/>
    <x v="511"/>
    <x v="511"/>
    <n v="68.16"/>
    <s v="Net Banking"/>
    <n v="1"/>
    <b v="0"/>
    <x v="1"/>
    <n v="8"/>
    <m/>
    <s v="Young Age"/>
  </r>
  <r>
    <s v="ORD-01527"/>
    <d v="2021-11-17T00:00:00"/>
    <s v="CUST25719"/>
    <s v="Nikhil Chatterjee"/>
    <n v="42"/>
    <x v="0"/>
    <x v="2"/>
    <s v="Ludhiana"/>
    <x v="0"/>
    <x v="35"/>
    <n v="3"/>
    <n v="308.05"/>
    <n v="0.19"/>
    <x v="512"/>
    <x v="512"/>
    <n v="45.78"/>
    <s v="Cash on Delivery"/>
    <n v="3"/>
    <b v="0"/>
    <x v="1"/>
    <n v="2"/>
    <m/>
    <s v="Old Age"/>
  </r>
  <r>
    <s v="ORD-00164"/>
    <d v="2020-03-12T00:00:00"/>
    <s v="CUST97663"/>
    <s v="Aarav Singh"/>
    <s v="N/A"/>
    <x v="1"/>
    <x v="2"/>
    <s v="Ludhiana"/>
    <x v="4"/>
    <x v="7"/>
    <n v="9"/>
    <n v="3971.91"/>
    <n v="0.18"/>
    <x v="513"/>
    <x v="513"/>
    <n v="47.38"/>
    <s v="Cash on Delivery"/>
    <n v="3"/>
    <b v="0"/>
    <x v="2"/>
    <n v="4"/>
    <m/>
    <s v="Old Age"/>
  </r>
  <r>
    <s v="ORD-02287"/>
    <d v="2022-09-19T00:00:00"/>
    <s v="CUST48005"/>
    <s v="Deepa Nair"/>
    <n v="48"/>
    <x v="0"/>
    <x v="4"/>
    <s v="Chennai"/>
    <x v="5"/>
    <x v="17"/>
    <n v="7"/>
    <n v="10316.01"/>
    <n v="0.33"/>
    <x v="514"/>
    <x v="514"/>
    <n v="90.01"/>
    <s v="Net Banking"/>
    <s v="N/A"/>
    <b v="0"/>
    <x v="1"/>
    <n v="4"/>
    <m/>
    <s v="Old Age"/>
  </r>
  <r>
    <s v="ORD-03296"/>
    <d v="2023-11-25T00:00:00"/>
    <s v="CUST49836"/>
    <s v="Amit Bose"/>
    <n v="32"/>
    <x v="0"/>
    <x v="0"/>
    <s v="Raipur"/>
    <x v="4"/>
    <x v="6"/>
    <n v="4"/>
    <n v="2037.61"/>
    <n v="0.09"/>
    <x v="515"/>
    <x v="515"/>
    <n v="28.18"/>
    <s v="Cash on Delivery"/>
    <n v="1"/>
    <b v="1"/>
    <x v="0"/>
    <n v="7"/>
    <m/>
    <s v="Mid Age"/>
  </r>
  <r>
    <s v="ORD-02542"/>
    <d v="2023-01-09T00:00:00"/>
    <s v="CUST20603"/>
    <s v="Aditya Patel"/>
    <n v="47"/>
    <x v="0"/>
    <x v="2"/>
    <s v="Delhi"/>
    <x v="2"/>
    <x v="28"/>
    <n v="4"/>
    <n v="16407.34"/>
    <n v="0.13"/>
    <x v="516"/>
    <x v="516"/>
    <n v="55.63"/>
    <s v="Cash on Delivery"/>
    <n v="3"/>
    <b v="0"/>
    <x v="1"/>
    <n v="7"/>
    <m/>
    <s v="Old Age"/>
  </r>
  <r>
    <s v="ORD-01038"/>
    <d v="2021-04-15T00:00:00"/>
    <s v="CUST91204"/>
    <s v="Ananya Mishra"/>
    <n v="43"/>
    <x v="0"/>
    <x v="3"/>
    <s v="Patna"/>
    <x v="2"/>
    <x v="13"/>
    <n v="9"/>
    <n v="19514.509999999998"/>
    <n v="0"/>
    <x v="517"/>
    <x v="517"/>
    <n v="87.81"/>
    <s v="Debit Card"/>
    <n v="1"/>
    <b v="1"/>
    <x v="0"/>
    <n v="9"/>
    <m/>
    <s v="Old Age"/>
  </r>
  <r>
    <s v="ORD-00886"/>
    <d v="2021-02-04T00:00:00"/>
    <s v="CUST50029"/>
    <s v="Rohan Mehta"/>
    <n v="27"/>
    <x v="0"/>
    <x v="1"/>
    <s v="Mumbai"/>
    <x v="4"/>
    <x v="12"/>
    <n v="10"/>
    <n v="1064.5"/>
    <n v="0.2"/>
    <x v="518"/>
    <x v="518"/>
    <n v="64.42"/>
    <s v="Cash on Delivery"/>
    <n v="4"/>
    <b v="0"/>
    <x v="1"/>
    <n v="9"/>
    <m/>
    <s v="Mid Age"/>
  </r>
  <r>
    <s v="ORD-02510"/>
    <d v="2022-12-25T00:00:00"/>
    <s v="CUST29676"/>
    <s v="Arjun Rao"/>
    <n v="43"/>
    <x v="0"/>
    <x v="4"/>
    <s v="Hyderabad"/>
    <x v="1"/>
    <x v="41"/>
    <n v="4"/>
    <n v="1024.2"/>
    <n v="0.28000000000000003"/>
    <x v="519"/>
    <x v="519"/>
    <n v="57.96"/>
    <s v="Net Banking"/>
    <n v="2"/>
    <b v="0"/>
    <x v="1"/>
    <n v="9"/>
    <m/>
    <s v="Old Age"/>
  </r>
  <r>
    <s v="ORD-03352"/>
    <d v="2023-12-20T00:00:00"/>
    <s v="CUST97209"/>
    <s v="Karan Iyer"/>
    <n v="36"/>
    <x v="2"/>
    <x v="4"/>
    <s v="Bangalore"/>
    <x v="6"/>
    <x v="22"/>
    <n v="5"/>
    <n v="11277.04"/>
    <n v="0.03"/>
    <x v="520"/>
    <x v="520"/>
    <n v="96.43"/>
    <s v="EMI"/>
    <n v="2"/>
    <b v="0"/>
    <x v="4"/>
    <n v="8"/>
    <m/>
    <s v="Mid Age"/>
  </r>
  <r>
    <s v="ORD-03714"/>
    <d v="2024-06-07T00:00:00"/>
    <s v="CUST48600"/>
    <s v="Kavya Reddy"/>
    <n v="23"/>
    <x v="2"/>
    <x v="3"/>
    <s v="Kolkata"/>
    <x v="4"/>
    <x v="6"/>
    <n v="6"/>
    <n v="3566.25"/>
    <n v="0.19"/>
    <x v="521"/>
    <x v="521"/>
    <n v="94.51"/>
    <s v="EMI"/>
    <n v="5"/>
    <b v="0"/>
    <x v="1"/>
    <n v="2"/>
    <m/>
    <s v="Young Age"/>
  </r>
  <r>
    <s v="ORD-00941"/>
    <d v="2021-03-01T00:00:00"/>
    <s v="CUST76016"/>
    <s v="Sanjay Gupta"/>
    <n v="27"/>
    <x v="0"/>
    <x v="4"/>
    <s v="Hyderabad"/>
    <x v="6"/>
    <x v="27"/>
    <n v="1"/>
    <n v="10397.719999999999"/>
    <n v="0"/>
    <x v="522"/>
    <x v="522"/>
    <n v="88.19"/>
    <s v="Net Banking"/>
    <n v="1"/>
    <b v="0"/>
    <x v="4"/>
    <n v="2"/>
    <m/>
    <s v="Mid Age"/>
  </r>
  <r>
    <s v="ORD-00669"/>
    <d v="2020-10-29T00:00:00"/>
    <s v="CUST66974"/>
    <s v="Aarav Sharma"/>
    <s v="N/A"/>
    <x v="0"/>
    <x v="3"/>
    <s v="Guwahati"/>
    <x v="4"/>
    <x v="7"/>
    <n v="3"/>
    <n v="562.94000000000005"/>
    <n v="0.27"/>
    <x v="523"/>
    <x v="523"/>
    <n v="88.97"/>
    <s v="UPI"/>
    <n v="2"/>
    <b v="1"/>
    <x v="0"/>
    <n v="1"/>
    <m/>
    <s v="Old Age"/>
  </r>
  <r>
    <s v="ORD-02173"/>
    <d v="2022-11-08T00:00:00"/>
    <s v="CUST84895"/>
    <s v="Vikram Mishra"/>
    <n v="37"/>
    <x v="0"/>
    <x v="2"/>
    <s v="Amritsar"/>
    <x v="5"/>
    <x v="25"/>
    <n v="9"/>
    <n v="54464.82"/>
    <n v="0"/>
    <x v="524"/>
    <x v="524"/>
    <n v="53.63"/>
    <s v="Credit Card"/>
    <s v="N/A"/>
    <b v="0"/>
    <x v="1"/>
    <n v="4"/>
    <m/>
    <s v="Mid Age"/>
  </r>
  <r>
    <s v="ORD-00737"/>
    <d v="2020-12-02T00:00:00"/>
    <s v="CUST84086"/>
    <s v="Priya Singh"/>
    <n v="21"/>
    <x v="1"/>
    <x v="2"/>
    <s v="Amritsar"/>
    <x v="0"/>
    <x v="35"/>
    <n v="9"/>
    <n v="335.03"/>
    <n v="0.34"/>
    <x v="525"/>
    <x v="525"/>
    <n v="59.48"/>
    <s v="Net Banking"/>
    <n v="4"/>
    <b v="1"/>
    <x v="0"/>
    <n v="1"/>
    <m/>
    <s v="Young Age"/>
  </r>
  <r>
    <s v="ORD-02712"/>
    <d v="2023-03-22T00:00:00"/>
    <s v="CUST21655"/>
    <s v="Amit Reddy"/>
    <n v="29"/>
    <x v="0"/>
    <x v="2"/>
    <s v="Chandigarh"/>
    <x v="0"/>
    <x v="0"/>
    <n v="8"/>
    <n v="172.53"/>
    <n v="0.22"/>
    <x v="526"/>
    <x v="526"/>
    <n v="47.93"/>
    <s v="Credit Card"/>
    <n v="3"/>
    <b v="0"/>
    <x v="1"/>
    <n v="4"/>
    <m/>
    <s v="Mid Age"/>
  </r>
  <r>
    <s v="ORD-03079"/>
    <d v="2023-08-22T00:00:00"/>
    <s v="CUST74717"/>
    <s v="Ananya Bhat"/>
    <n v="24"/>
    <x v="2"/>
    <x v="3"/>
    <s v="Patna"/>
    <x v="6"/>
    <x v="22"/>
    <n v="1"/>
    <n v="7788.48"/>
    <n v="0.16"/>
    <x v="527"/>
    <x v="527"/>
    <n v="67.88"/>
    <s v="EMI"/>
    <n v="4"/>
    <b v="0"/>
    <x v="4"/>
    <n v="3"/>
    <m/>
    <s v="Young Age"/>
  </r>
  <r>
    <s v="ORD-00093"/>
    <d v="2020-02-06T00:00:00"/>
    <s v="CUST28742"/>
    <s v="Kavya Bhat"/>
    <n v="38"/>
    <x v="2"/>
    <x v="3"/>
    <s v="Kolkata"/>
    <x v="1"/>
    <x v="23"/>
    <n v="3"/>
    <n v="1535.87"/>
    <n v="0.04"/>
    <x v="528"/>
    <x v="528"/>
    <n v="86.51"/>
    <s v="Cash on Delivery"/>
    <n v="5"/>
    <b v="1"/>
    <x v="0"/>
    <n v="7"/>
    <m/>
    <s v="Mid Age"/>
  </r>
  <r>
    <s v="ORD-02847"/>
    <d v="2023-05-25T00:00:00"/>
    <s v="CUST62909"/>
    <s v="Aditya Bose"/>
    <n v="31"/>
    <x v="2"/>
    <x v="1"/>
    <s v="Ahmedabad"/>
    <x v="0"/>
    <x v="36"/>
    <n v="8"/>
    <n v="399.28"/>
    <n v="0.11"/>
    <x v="529"/>
    <x v="529"/>
    <n v="62.93"/>
    <s v="Cash on Delivery"/>
    <n v="4"/>
    <b v="0"/>
    <x v="4"/>
    <n v="2"/>
    <m/>
    <s v="Mid Age"/>
  </r>
  <r>
    <s v="ORD-02511"/>
    <d v="2022-12-25T00:00:00"/>
    <s v="CUST68061"/>
    <s v="Sunita Chatterjee"/>
    <n v="-5"/>
    <x v="1"/>
    <x v="4"/>
    <s v="Hyderabad"/>
    <x v="0"/>
    <x v="34"/>
    <n v="7"/>
    <n v="89.81"/>
    <n v="0.34"/>
    <x v="530"/>
    <x v="530"/>
    <n v="64.12"/>
    <s v="EMI"/>
    <n v="3"/>
    <b v="0"/>
    <x v="1"/>
    <n v="5"/>
    <m/>
    <s v="Young Age"/>
  </r>
  <r>
    <s v="ORD-01066"/>
    <d v="2021-04-27T00:00:00"/>
    <s v="CUST14264"/>
    <s v="Ananya Singh"/>
    <n v="35"/>
    <x v="1"/>
    <x v="2"/>
    <s v="Delhi"/>
    <x v="6"/>
    <x v="27"/>
    <n v="6"/>
    <n v="7246.81"/>
    <n v="0"/>
    <x v="531"/>
    <x v="531"/>
    <n v="40.22"/>
    <s v="Cash on Delivery"/>
    <n v="4"/>
    <b v="0"/>
    <x v="1"/>
    <n v="10"/>
    <m/>
    <s v="Mid Age"/>
  </r>
  <r>
    <s v="ORD-03740"/>
    <s v="18/06/2024"/>
    <s v="CUST25398"/>
    <s v="Nikhil Nair"/>
    <n v="27"/>
    <x v="0"/>
    <x v="0"/>
    <s v="Bhopal"/>
    <x v="0"/>
    <x v="4"/>
    <m/>
    <n v="167.05"/>
    <n v="0.13"/>
    <x v="532"/>
    <x v="532"/>
    <n v="51.15"/>
    <s v="Net Banking"/>
    <n v="5"/>
    <b v="0"/>
    <x v="1"/>
    <n v="10"/>
    <m/>
    <s v="Mid Age"/>
  </r>
  <r>
    <s v="ORD-03053"/>
    <d v="2023-08-13T00:00:00"/>
    <s v="CUST70734"/>
    <s v="Meera Kumar"/>
    <n v="30"/>
    <x v="2"/>
    <x v="0"/>
    <s v="Nagpur"/>
    <x v="2"/>
    <x v="28"/>
    <n v="10"/>
    <n v="5902.83"/>
    <n v="0.26"/>
    <x v="533"/>
    <x v="533"/>
    <n v="63.39"/>
    <s v="Credit Card"/>
    <n v="3"/>
    <b v="0"/>
    <x v="1"/>
    <n v="7"/>
    <m/>
    <s v="Mid Age"/>
  </r>
  <r>
    <s v="ORD-03174"/>
    <d v="2023-10-04T00:00:00"/>
    <s v="CUST00106"/>
    <s v="Ananya Bhat"/>
    <n v="21"/>
    <x v="2"/>
    <x v="0"/>
    <s v="Indore"/>
    <x v="3"/>
    <x v="11"/>
    <n v="9"/>
    <n v="641.84"/>
    <n v="0"/>
    <x v="534"/>
    <x v="534"/>
    <n v="20.79"/>
    <s v="Cash on Delivery"/>
    <n v="1"/>
    <b v="0"/>
    <x v="1"/>
    <n v="5"/>
    <m/>
    <s v="Young Age"/>
  </r>
  <r>
    <s v="ORD-03942"/>
    <d v="2024-08-27T00:00:00"/>
    <s v="CUST76909"/>
    <s v="Arjun Bose"/>
    <n v="29"/>
    <x v="1"/>
    <x v="4"/>
    <s v="Hyderabad"/>
    <x v="6"/>
    <x v="38"/>
    <n v="9"/>
    <n v="4499.21"/>
    <n v="0.06"/>
    <x v="535"/>
    <x v="535"/>
    <n v="66.59"/>
    <s v="Net Banking"/>
    <n v="2"/>
    <b v="0"/>
    <x v="1"/>
    <n v="4"/>
    <m/>
    <s v="Mid Age"/>
  </r>
  <r>
    <s v="ORD-00881"/>
    <d v="2021-02-02T00:00:00"/>
    <s v="CUST31073"/>
    <s v="Kavya Shah"/>
    <n v="48"/>
    <x v="1"/>
    <x v="3"/>
    <s v="Bhubaneswar"/>
    <x v="0"/>
    <x v="36"/>
    <n v="7"/>
    <n v="474.48"/>
    <n v="0.26"/>
    <x v="238"/>
    <x v="238"/>
    <n v="40.18"/>
    <s v="Debit Card"/>
    <n v="1"/>
    <b v="1"/>
    <x v="0"/>
    <n v="2"/>
    <m/>
    <s v="Old Age"/>
  </r>
  <r>
    <s v="ORD-00201"/>
    <d v="2020-03-30T00:00:00"/>
    <s v="CUST39806"/>
    <s v="Sanjay Bhat"/>
    <n v="27"/>
    <x v="0"/>
    <x v="1"/>
    <s v="Mumbai"/>
    <x v="1"/>
    <x v="29"/>
    <n v="4"/>
    <n v="2430.1"/>
    <n v="0.03"/>
    <x v="536"/>
    <x v="536"/>
    <n v="60.42"/>
    <s v="Debit Card"/>
    <n v="5"/>
    <b v="0"/>
    <x v="1"/>
    <n v="1"/>
    <m/>
    <s v="Mid Age"/>
  </r>
  <r>
    <s v="ORD-00582"/>
    <d v="2020-09-17T00:00:00"/>
    <s v="CUST42583"/>
    <s v="Nisha Rao"/>
    <n v="31"/>
    <x v="0"/>
    <x v="4"/>
    <s v="Bangalore"/>
    <x v="3"/>
    <x v="11"/>
    <n v="1"/>
    <n v="587.49"/>
    <n v="0.09"/>
    <x v="537"/>
    <x v="537"/>
    <n v="82.7"/>
    <s v="Debit Card"/>
    <n v="3"/>
    <b v="0"/>
    <x v="1"/>
    <n v="6"/>
    <m/>
    <s v="Mid Age"/>
  </r>
  <r>
    <s v="ORD-00571"/>
    <d v="2020-09-10T00:00:00"/>
    <s v="CUST29775"/>
    <s v="Deepa Sharma"/>
    <n v="16"/>
    <x v="0"/>
    <x v="0"/>
    <s v="Raipur"/>
    <x v="3"/>
    <x v="40"/>
    <n v="1"/>
    <n v="565.12"/>
    <n v="0.08"/>
    <x v="538"/>
    <x v="538"/>
    <n v="49.52"/>
    <s v="UPI"/>
    <n v="4"/>
    <b v="0"/>
    <x v="1"/>
    <n v="4"/>
    <m/>
    <s v="Young Age"/>
  </r>
  <r>
    <s v="ORD-02281"/>
    <d v="2022-09-18T00:00:00"/>
    <s v="CUST68153"/>
    <s v="Aditya Das"/>
    <n v="45"/>
    <x v="2"/>
    <x v="2"/>
    <s v="Amritsar"/>
    <x v="1"/>
    <x v="37"/>
    <n v="9"/>
    <n v="2226.0700000000002"/>
    <n v="0.16"/>
    <x v="539"/>
    <x v="539"/>
    <n v="50.45"/>
    <s v="EMI"/>
    <n v="4"/>
    <b v="0"/>
    <x v="1"/>
    <n v="2"/>
    <m/>
    <s v="Old Age"/>
  </r>
  <r>
    <s v="ORD-02777"/>
    <d v="2023-04-17T00:00:00"/>
    <s v="CUST15930"/>
    <s v="Rahul Bhat"/>
    <n v="33"/>
    <x v="2"/>
    <x v="2"/>
    <s v="Chandigarh"/>
    <x v="1"/>
    <x v="29"/>
    <n v="6"/>
    <n v="438.59"/>
    <n v="0.26"/>
    <x v="540"/>
    <x v="540"/>
    <n v="64.81"/>
    <s v="Net Banking"/>
    <n v="3"/>
    <b v="1"/>
    <x v="0"/>
    <n v="9"/>
    <m/>
    <s v="Mid Age"/>
  </r>
  <r>
    <s v="ORD-01949"/>
    <d v="2022-05-11T00:00:00"/>
    <s v="CUST55786"/>
    <s v="Deepa Mehta"/>
    <n v="20"/>
    <x v="2"/>
    <x v="4"/>
    <s v="Chennai"/>
    <x v="1"/>
    <x v="29"/>
    <n v="6"/>
    <n v="2429.19"/>
    <n v="0.34"/>
    <x v="541"/>
    <x v="541"/>
    <n v="40.450000000000003"/>
    <s v="UPI"/>
    <n v="2"/>
    <b v="0"/>
    <x v="1"/>
    <n v="10"/>
    <m/>
    <s v="Young Age"/>
  </r>
  <r>
    <s v="ORD-01516"/>
    <d v="2021-11-14T00:00:00"/>
    <s v="CUST58345"/>
    <s v="Nikhil Mishra"/>
    <n v="24"/>
    <x v="0"/>
    <x v="4"/>
    <s v="Kochi"/>
    <x v="5"/>
    <x v="39"/>
    <n v="7"/>
    <n v="19882.939999999999"/>
    <n v="0.28999999999999998"/>
    <x v="542"/>
    <x v="542"/>
    <n v="61"/>
    <s v="EMI"/>
    <n v="1"/>
    <b v="0"/>
    <x v="4"/>
    <n v="3"/>
    <m/>
    <s v="Young Age"/>
  </r>
  <r>
    <s v="ORD-01425"/>
    <d v="2021-10-04T00:00:00"/>
    <s v="CUST22978"/>
    <s v="Nikhil Bhat"/>
    <s v="N/A"/>
    <x v="1"/>
    <x v="2"/>
    <s v="Ludhiana"/>
    <x v="6"/>
    <x v="31"/>
    <n v="4"/>
    <n v="13459.01"/>
    <n v="0.32"/>
    <x v="543"/>
    <x v="543"/>
    <n v="48.42"/>
    <s v="Credit Card"/>
    <n v="2"/>
    <b v="0"/>
    <x v="1"/>
    <n v="6"/>
    <m/>
    <s v="Old Age"/>
  </r>
  <r>
    <s v="ORD-02846"/>
    <d v="2023-05-25T00:00:00"/>
    <s v="CUST56492"/>
    <s v="Ananya Gupta"/>
    <n v="35"/>
    <x v="1"/>
    <x v="4"/>
    <s v="Kochi"/>
    <x v="2"/>
    <x v="8"/>
    <n v="10"/>
    <n v="31142.23"/>
    <n v="0.12"/>
    <x v="544"/>
    <x v="544"/>
    <n v="90.65"/>
    <s v="UPI"/>
    <n v="4"/>
    <b v="0"/>
    <x v="3"/>
    <n v="1"/>
    <m/>
    <s v="Mid Age"/>
  </r>
  <r>
    <s v="ORD-00619"/>
    <d v="2020-10-04T00:00:00"/>
    <s v="CUST73824"/>
    <s v="Rohan Kapoor"/>
    <n v="36"/>
    <x v="1"/>
    <x v="0"/>
    <s v="Raipur"/>
    <x v="2"/>
    <x v="8"/>
    <n v="5"/>
    <n v="11291.76"/>
    <n v="0.4"/>
    <x v="545"/>
    <x v="545"/>
    <n v="40.67"/>
    <s v="Credit Card"/>
    <n v="4"/>
    <b v="0"/>
    <x v="4"/>
    <s v="N/A"/>
    <m/>
    <s v="Mid Age"/>
  </r>
  <r>
    <s v="ORD-02258"/>
    <d v="2022-09-10T00:00:00"/>
    <s v="CUST95281"/>
    <s v="Shreya Bose"/>
    <n v="34"/>
    <x v="1"/>
    <x v="3"/>
    <s v="Kolkata"/>
    <x v="6"/>
    <x v="20"/>
    <m/>
    <n v="541.85"/>
    <n v="0.04"/>
    <x v="546"/>
    <x v="546"/>
    <n v="87.16"/>
    <s v="UPI"/>
    <n v="2"/>
    <b v="0"/>
    <x v="1"/>
    <n v="1"/>
    <m/>
    <s v="Mid Age"/>
  </r>
  <r>
    <s v="ORD-03441"/>
    <d v="2024-02-01T00:00:00"/>
    <s v="CUST02308"/>
    <s v="Rahul Sharma"/>
    <n v="21"/>
    <x v="2"/>
    <x v="4"/>
    <s v="Hyderabad"/>
    <x v="5"/>
    <x v="33"/>
    <n v="6"/>
    <n v="71178.539999999994"/>
    <n v="0.11"/>
    <x v="547"/>
    <x v="547"/>
    <n v="74.900000000000006"/>
    <s v="UPI"/>
    <n v="3"/>
    <b v="0"/>
    <x v="1"/>
    <n v="2"/>
    <m/>
    <s v="Young Age"/>
  </r>
  <r>
    <s v="ORD-01690"/>
    <d v="2022-01-23T00:00:00"/>
    <s v="CUST13726"/>
    <s v="Sanjay Joshi"/>
    <n v="42"/>
    <x v="0"/>
    <x v="3"/>
    <s v="Guwahati"/>
    <x v="3"/>
    <x v="5"/>
    <n v="1"/>
    <n v="293.64999999999998"/>
    <n v="0.21"/>
    <x v="548"/>
    <x v="548"/>
    <n v="77.91"/>
    <s v="Credit Card"/>
    <n v="3"/>
    <b v="0"/>
    <x v="4"/>
    <n v="3"/>
    <m/>
    <s v="Old Age"/>
  </r>
  <r>
    <s v="ORD-01139"/>
    <d v="2021-05-29T00:00:00"/>
    <s v="CUST11240"/>
    <s v="Deepa Iyer"/>
    <n v="37"/>
    <x v="0"/>
    <x v="1"/>
    <s v="Pune"/>
    <x v="4"/>
    <x v="6"/>
    <n v="5"/>
    <n v="3466.72"/>
    <n v="0.15"/>
    <x v="549"/>
    <x v="549"/>
    <n v="47.97"/>
    <s v="Net Banking"/>
    <n v="3"/>
    <b v="0"/>
    <x v="2"/>
    <n v="8"/>
    <m/>
    <s v="Mid Age"/>
  </r>
  <r>
    <s v="ORD-02223"/>
    <d v="2022-08-28T00:00:00"/>
    <s v="CUST98444"/>
    <s v="Ritu Mehta"/>
    <n v="15"/>
    <x v="1"/>
    <x v="3"/>
    <s v="Guwahati"/>
    <x v="6"/>
    <x v="18"/>
    <n v="1"/>
    <n v="8591.44"/>
    <n v="0.03"/>
    <x v="550"/>
    <x v="550"/>
    <n v="69.66"/>
    <s v="UPI"/>
    <n v="3"/>
    <b v="0"/>
    <x v="1"/>
    <n v="8"/>
    <m/>
    <s v="Young Age"/>
  </r>
  <r>
    <s v="ORD-01042"/>
    <d v="2021-04-18T00:00:00"/>
    <s v="CUST52708"/>
    <s v="Shreya Bhat"/>
    <n v="31"/>
    <x v="2"/>
    <x v="2"/>
    <s v="Delhi"/>
    <x v="1"/>
    <x v="10"/>
    <n v="7"/>
    <n v="1384.15"/>
    <n v="0.23"/>
    <x v="551"/>
    <x v="551"/>
    <n v="62.32"/>
    <s v="Debit Card"/>
    <n v="4"/>
    <b v="0"/>
    <x v="1"/>
    <n v="9"/>
    <m/>
    <s v="Mid Age"/>
  </r>
  <r>
    <s v="ORD-00452"/>
    <d v="2020-07-18T00:00:00"/>
    <s v="CUST52335"/>
    <s v="Nisha Patel"/>
    <n v="52"/>
    <x v="1"/>
    <x v="1"/>
    <s v="Ahmedabad"/>
    <x v="3"/>
    <x v="32"/>
    <n v="4"/>
    <n v="565.16999999999996"/>
    <n v="0.05"/>
    <x v="552"/>
    <x v="552"/>
    <n v="78.290000000000006"/>
    <s v="Credit Card"/>
    <n v="4"/>
    <b v="0"/>
    <x v="1"/>
    <s v="N/A"/>
    <m/>
    <s v="Old Age"/>
  </r>
  <r>
    <s v="ORD-00028"/>
    <d v="2020-01-11T00:00:00"/>
    <s v="CUST03400"/>
    <s v="Karan Mishra"/>
    <n v="23"/>
    <x v="1"/>
    <x v="0"/>
    <s v="Indore"/>
    <x v="6"/>
    <x v="20"/>
    <n v="7"/>
    <n v="12178.99"/>
    <n v="0.01"/>
    <x v="553"/>
    <x v="553"/>
    <n v="51.51"/>
    <s v="UPI"/>
    <n v="5"/>
    <b v="0"/>
    <x v="3"/>
    <n v="10"/>
    <m/>
    <s v="Young Age"/>
  </r>
  <r>
    <s v="ORD-03478"/>
    <d v="2024-02-20T00:00:00"/>
    <s v="CUST86909"/>
    <s v="Amit Reddy"/>
    <n v="44"/>
    <x v="2"/>
    <x v="0"/>
    <s v="Nagpur"/>
    <x v="0"/>
    <x v="34"/>
    <n v="7"/>
    <n v="447.52"/>
    <n v="0.3"/>
    <x v="554"/>
    <x v="554"/>
    <n v="47.41"/>
    <s v="Cash on Delivery"/>
    <n v="3"/>
    <b v="0"/>
    <x v="1"/>
    <n v="5"/>
    <m/>
    <s v="Old Age"/>
  </r>
  <r>
    <s v="ORD-00350"/>
    <d v="2020-05-30T00:00:00"/>
    <s v="CUST72810"/>
    <s v="Arjun Reddy"/>
    <n v="26"/>
    <x v="1"/>
    <x v="3"/>
    <s v="Guwahati"/>
    <x v="4"/>
    <x v="7"/>
    <n v="10"/>
    <n v="2738.51"/>
    <n v="0.12"/>
    <x v="555"/>
    <x v="555"/>
    <n v="81.19"/>
    <s v="Credit Card"/>
    <n v="5"/>
    <b v="0"/>
    <x v="1"/>
    <n v="4"/>
    <m/>
    <s v="Mid Age"/>
  </r>
  <r>
    <s v="ORD-02384"/>
    <d v="2022-10-28T00:00:00"/>
    <s v="CUST51225"/>
    <s v="Ananya Kumar"/>
    <n v="23"/>
    <x v="0"/>
    <x v="1"/>
    <s v="Mumbai"/>
    <x v="6"/>
    <x v="18"/>
    <m/>
    <n v="10898.37"/>
    <n v="0.05"/>
    <x v="556"/>
    <x v="556"/>
    <n v="82.53"/>
    <s v="Debit Card"/>
    <n v="5"/>
    <b v="0"/>
    <x v="3"/>
    <n v="10"/>
    <m/>
    <s v="Young Age"/>
  </r>
  <r>
    <s v="ORD-02052"/>
    <d v="2022-06-23T00:00:00"/>
    <s v="CUST10079"/>
    <s v="Pooja Singh"/>
    <n v="29"/>
    <x v="1"/>
    <x v="4"/>
    <s v="Bangalore"/>
    <x v="5"/>
    <x v="33"/>
    <n v="8"/>
    <n v="48445.16"/>
    <n v="0.26"/>
    <x v="557"/>
    <x v="557"/>
    <n v="70.06"/>
    <s v="Cash on Delivery"/>
    <n v="5"/>
    <b v="0"/>
    <x v="1"/>
    <n v="8"/>
    <m/>
    <s v="Mid Age"/>
  </r>
  <r>
    <s v="ORD-01961"/>
    <d v="2022-05-16T00:00:00"/>
    <s v="CUST60023"/>
    <s v="Rohan Rao"/>
    <n v="32"/>
    <x v="2"/>
    <x v="1"/>
    <s v="Mumbai"/>
    <x v="6"/>
    <x v="18"/>
    <n v="6"/>
    <n v="1826.8"/>
    <n v="7.0000000000000007E-2"/>
    <x v="558"/>
    <x v="558"/>
    <n v="74.41"/>
    <s v="Credit Card"/>
    <n v="2"/>
    <b v="1"/>
    <x v="0"/>
    <n v="6"/>
    <m/>
    <s v="Mid Age"/>
  </r>
  <r>
    <s v="ORD-00404"/>
    <d v="2020-06-22T00:00:00"/>
    <s v="CUST02130"/>
    <s v="Vikram Shah"/>
    <n v="16"/>
    <x v="2"/>
    <x v="1"/>
    <s v="Ahmedabad"/>
    <x v="3"/>
    <x v="32"/>
    <n v="3"/>
    <n v="541.30999999999995"/>
    <n v="0.06"/>
    <x v="559"/>
    <x v="559"/>
    <n v="56.62"/>
    <s v="Cash on Delivery"/>
    <n v="5"/>
    <b v="0"/>
    <x v="1"/>
    <n v="8"/>
    <m/>
    <s v="Young Age"/>
  </r>
  <r>
    <s v="ORD-00742"/>
    <d v="2020-12-03T00:00:00"/>
    <s v="CUST42571"/>
    <s v="Meera Kumar"/>
    <n v="39"/>
    <x v="1"/>
    <x v="1"/>
    <s v="Pune"/>
    <x v="3"/>
    <x v="19"/>
    <n v="2"/>
    <n v="1291.54"/>
    <n v="0.28999999999999998"/>
    <x v="560"/>
    <x v="560"/>
    <n v="74.760000000000005"/>
    <s v="EMI"/>
    <s v="N/A"/>
    <b v="0"/>
    <x v="1"/>
    <n v="4"/>
    <m/>
    <s v="Mid Age"/>
  </r>
  <r>
    <s v="ORD-00317"/>
    <d v="2020-05-19T00:00:00"/>
    <s v="CUST52213"/>
    <s v="Kavya Iyer"/>
    <n v="53"/>
    <x v="0"/>
    <x v="4"/>
    <s v="Bangalore"/>
    <x v="0"/>
    <x v="34"/>
    <n v="4"/>
    <n v="429.54"/>
    <n v="0.06"/>
    <x v="561"/>
    <x v="561"/>
    <n v="61.97"/>
    <s v="Credit Card"/>
    <n v="2"/>
    <b v="1"/>
    <x v="0"/>
    <n v="7"/>
    <m/>
    <s v="Old Age"/>
  </r>
  <r>
    <s v="ORD-02982"/>
    <d v="2023-07-15T00:00:00"/>
    <s v="CUST81628"/>
    <s v="Rahul Shah"/>
    <n v="33"/>
    <x v="0"/>
    <x v="1"/>
    <s v="Surat"/>
    <x v="1"/>
    <x v="37"/>
    <n v="10"/>
    <n v="2340.48"/>
    <n v="0"/>
    <x v="562"/>
    <x v="562"/>
    <n v="65.62"/>
    <s v="EMI"/>
    <n v="2"/>
    <b v="0"/>
    <x v="1"/>
    <n v="9"/>
    <m/>
    <s v="Mid Age"/>
  </r>
  <r>
    <s v="ORD-03440"/>
    <d v="2024-02-01T00:00:00"/>
    <s v="CUST60633"/>
    <s v="Priya Mehta"/>
    <n v="28"/>
    <x v="1"/>
    <x v="3"/>
    <s v="Kolkata"/>
    <x v="4"/>
    <x v="14"/>
    <n v="6"/>
    <n v="604.17999999999995"/>
    <n v="0.2"/>
    <x v="563"/>
    <x v="563"/>
    <n v="84.73"/>
    <s v="Debit Card"/>
    <n v="5"/>
    <b v="0"/>
    <x v="1"/>
    <n v="2"/>
    <m/>
    <s v="Mid Age"/>
  </r>
  <r>
    <s v="ORD-00318"/>
    <d v="2020-05-20T00:00:00"/>
    <s v="CUST80292"/>
    <s v="Ritu Shah"/>
    <n v="20"/>
    <x v="0"/>
    <x v="0"/>
    <s v="Raipur"/>
    <x v="6"/>
    <x v="27"/>
    <n v="7"/>
    <n v="4673.1899999999996"/>
    <n v="0.33"/>
    <x v="564"/>
    <x v="564"/>
    <n v="59.8"/>
    <s v="Cash on Delivery"/>
    <n v="1"/>
    <b v="0"/>
    <x v="1"/>
    <n v="4"/>
    <m/>
    <s v="Young Age"/>
  </r>
  <r>
    <s v="ORD-02292"/>
    <d v="2022-09-21T00:00:00"/>
    <s v="CUST08013"/>
    <s v="Ritu Gupta"/>
    <n v="41"/>
    <x v="0"/>
    <x v="3"/>
    <s v="Bhubaneswar"/>
    <x v="6"/>
    <x v="38"/>
    <n v="2"/>
    <n v="8645.73"/>
    <n v="0.24"/>
    <x v="565"/>
    <x v="565"/>
    <n v="94.07"/>
    <s v="EMI"/>
    <n v="4"/>
    <b v="1"/>
    <x v="0"/>
    <n v="3"/>
    <m/>
    <s v="Old Age"/>
  </r>
  <r>
    <s v="ORD-04161"/>
    <d v="2024-12-11T00:00:00"/>
    <s v="CUST28262"/>
    <s v="Aarav Patel"/>
    <n v="22"/>
    <x v="1"/>
    <x v="4"/>
    <s v="Chennai"/>
    <x v="0"/>
    <x v="34"/>
    <n v="3"/>
    <n v="55.73"/>
    <n v="0.25"/>
    <x v="566"/>
    <x v="566"/>
    <n v="67.069999999999993"/>
    <s v="Credit Card"/>
    <n v="4"/>
    <b v="1"/>
    <x v="0"/>
    <n v="9"/>
    <m/>
    <s v="Young Age"/>
  </r>
  <r>
    <s v="ORD-02099"/>
    <d v="2022-07-12T00:00:00"/>
    <s v="CUST13620"/>
    <s v="Amit Das"/>
    <n v="39"/>
    <x v="1"/>
    <x v="4"/>
    <s v="Hyderabad"/>
    <x v="1"/>
    <x v="41"/>
    <n v="4"/>
    <n v="1632.26"/>
    <n v="0.4"/>
    <x v="567"/>
    <x v="567"/>
    <n v="61.99"/>
    <s v="UPI"/>
    <n v="4"/>
    <b v="0"/>
    <x v="1"/>
    <n v="7"/>
    <m/>
    <s v="Mid Age"/>
  </r>
  <r>
    <s v="ORD-00129"/>
    <d v="2020-02-19T00:00:00"/>
    <s v="CUST20302"/>
    <s v="Aditya Gupta"/>
    <n v="48"/>
    <x v="0"/>
    <x v="4"/>
    <s v="Bangalore"/>
    <x v="4"/>
    <x v="6"/>
    <n v="8"/>
    <n v="967.73"/>
    <n v="0.36"/>
    <x v="568"/>
    <x v="568"/>
    <n v="73.930000000000007"/>
    <s v="Credit Card"/>
    <n v="3"/>
    <b v="1"/>
    <x v="0"/>
    <n v="6"/>
    <m/>
    <s v="Old Age"/>
  </r>
  <r>
    <s v="ORD-03339"/>
    <d v="2023-12-16T00:00:00"/>
    <s v="CUST29727"/>
    <s v="Amit Kumar"/>
    <n v="29"/>
    <x v="1"/>
    <x v="4"/>
    <s v="Chennai"/>
    <x v="2"/>
    <x v="28"/>
    <n v="9"/>
    <n v="14900.48"/>
    <n v="0.2"/>
    <x v="569"/>
    <x v="569"/>
    <n v="45.89"/>
    <s v="Debit Card"/>
    <n v="4"/>
    <b v="0"/>
    <x v="1"/>
    <n v="9"/>
    <m/>
    <s v="Mid Age"/>
  </r>
  <r>
    <s v="ORD-02780"/>
    <d v="2023-04-18T00:00:00"/>
    <s v="CUST00961"/>
    <s v="Nisha Kumar"/>
    <n v="37"/>
    <x v="2"/>
    <x v="0"/>
    <s v="Nagpur"/>
    <x v="1"/>
    <x v="37"/>
    <n v="8"/>
    <n v="899.3"/>
    <n v="0.17"/>
    <x v="570"/>
    <x v="570"/>
    <n v="71.55"/>
    <s v="Credit Card"/>
    <n v="2"/>
    <b v="0"/>
    <x v="1"/>
    <n v="3"/>
    <m/>
    <s v="Mid Age"/>
  </r>
  <r>
    <s v="ORD-01597"/>
    <d v="2021-12-14T00:00:00"/>
    <s v="CUST58607"/>
    <s v="Kavya Kumar"/>
    <n v="25"/>
    <x v="1"/>
    <x v="0"/>
    <s v="Indore"/>
    <x v="1"/>
    <x v="29"/>
    <n v="1"/>
    <n v="2412.42"/>
    <n v="0.02"/>
    <x v="571"/>
    <x v="571"/>
    <n v="51.08"/>
    <s v="Cash on Delivery"/>
    <n v="1"/>
    <b v="0"/>
    <x v="1"/>
    <n v="10"/>
    <m/>
    <s v="Young Age"/>
  </r>
  <r>
    <s v="ORD-02643"/>
    <d v="2023-02-17T00:00:00"/>
    <s v="CUST02524"/>
    <s v="Amit Patel"/>
    <n v="50"/>
    <x v="1"/>
    <x v="1"/>
    <s v="Pune"/>
    <x v="6"/>
    <x v="22"/>
    <n v="6"/>
    <n v="9703.74"/>
    <n v="0.16"/>
    <x v="572"/>
    <x v="572"/>
    <n v="50.19"/>
    <s v="EMI"/>
    <n v="1"/>
    <b v="0"/>
    <x v="1"/>
    <n v="7"/>
    <m/>
    <s v="Old Age"/>
  </r>
  <r>
    <s v="ORD-03637"/>
    <s v="30/04/2024"/>
    <s v="CUST91185"/>
    <s v="Karan Rao"/>
    <n v="19"/>
    <x v="0"/>
    <x v="0"/>
    <s v="Nagpur"/>
    <x v="1"/>
    <x v="29"/>
    <n v="3"/>
    <n v="2213"/>
    <n v="0.1"/>
    <x v="573"/>
    <x v="573"/>
    <n v="86.73"/>
    <s v="EMI"/>
    <n v="4"/>
    <b v="0"/>
    <x v="1"/>
    <n v="10"/>
    <m/>
    <s v="Young Age"/>
  </r>
  <r>
    <s v="ORD-03586"/>
    <d v="2024-04-09T00:00:00"/>
    <s v="CUST91393"/>
    <s v="Meera Pillai"/>
    <n v="42"/>
    <x v="0"/>
    <x v="2"/>
    <s v="Ludhiana"/>
    <x v="6"/>
    <x v="31"/>
    <n v="1"/>
    <n v="7923.79"/>
    <n v="0.02"/>
    <x v="574"/>
    <x v="574"/>
    <n v="54.15"/>
    <s v="Cash on Delivery"/>
    <n v="3"/>
    <b v="0"/>
    <x v="4"/>
    <s v="N/A"/>
    <m/>
    <s v="Old Age"/>
  </r>
  <r>
    <s v="ORD-02974"/>
    <d v="2023-07-11T00:00:00"/>
    <s v="CUST06333"/>
    <s v="Amit Verma"/>
    <n v="44"/>
    <x v="0"/>
    <x v="2"/>
    <s v="Amritsar"/>
    <x v="4"/>
    <x v="16"/>
    <n v="6"/>
    <n v="1202.81"/>
    <n v="0.08"/>
    <x v="575"/>
    <x v="575"/>
    <n v="84.89"/>
    <s v="Net Banking"/>
    <n v="1"/>
    <b v="1"/>
    <x v="0"/>
    <n v="6"/>
    <m/>
    <s v="Old Age"/>
  </r>
  <r>
    <s v="ORD-03801"/>
    <d v="2024-07-11T00:00:00"/>
    <s v="CUST68786"/>
    <s v="Rahul Sharma"/>
    <n v="38"/>
    <x v="0"/>
    <x v="1"/>
    <s v="Mumbai"/>
    <x v="6"/>
    <x v="20"/>
    <n v="2"/>
    <n v="13574.46"/>
    <n v="0.31"/>
    <x v="576"/>
    <x v="576"/>
    <n v="49.47"/>
    <s v="Net Banking"/>
    <n v="3"/>
    <b v="0"/>
    <x v="1"/>
    <n v="7"/>
    <m/>
    <s v="Mid Age"/>
  </r>
  <r>
    <s v="ORD-01247"/>
    <d v="2021-07-16T00:00:00"/>
    <s v="CUST10958"/>
    <s v="Rahul Nair"/>
    <n v="52"/>
    <x v="1"/>
    <x v="2"/>
    <s v="Chandigarh"/>
    <x v="6"/>
    <x v="27"/>
    <n v="9"/>
    <n v="10077.49"/>
    <n v="0.34"/>
    <x v="577"/>
    <x v="577"/>
    <n v="71.95"/>
    <s v="Cash on Delivery"/>
    <n v="3"/>
    <b v="0"/>
    <x v="1"/>
    <n v="2"/>
    <m/>
    <s v="Old Age"/>
  </r>
  <r>
    <s v="ORD-00428"/>
    <d v="2020-08-07T00:00:00"/>
    <s v="CUST48382"/>
    <s v="Priya Kumar"/>
    <n v="47"/>
    <x v="2"/>
    <x v="0"/>
    <s v="Nagpur"/>
    <x v="0"/>
    <x v="36"/>
    <n v="4"/>
    <n v="443.03"/>
    <n v="0.32"/>
    <x v="578"/>
    <x v="578"/>
    <n v="71.819999999999993"/>
    <s v="Debit Card"/>
    <n v="4"/>
    <b v="0"/>
    <x v="4"/>
    <n v="2"/>
    <m/>
    <s v="Old Age"/>
  </r>
  <r>
    <s v="ORD-03405"/>
    <d v="2024-01-14T00:00:00"/>
    <s v="CUST34808"/>
    <s v="Ritu Shah"/>
    <n v="36"/>
    <x v="1"/>
    <x v="2"/>
    <s v="Chandigarh"/>
    <x v="5"/>
    <x v="33"/>
    <n v="1"/>
    <n v="16829.03"/>
    <n v="0.04"/>
    <x v="579"/>
    <x v="579"/>
    <n v="43.96"/>
    <s v="Credit Card"/>
    <n v="1"/>
    <b v="1"/>
    <x v="0"/>
    <n v="9"/>
    <m/>
    <s v="Mid Age"/>
  </r>
  <r>
    <s v="ORD-03621"/>
    <d v="2024-04-23T00:00:00"/>
    <s v="CUST65858"/>
    <s v="Karan Nair"/>
    <n v="24"/>
    <x v="2"/>
    <x v="3"/>
    <s v="Kolkata"/>
    <x v="4"/>
    <x v="7"/>
    <n v="10"/>
    <n v="3066.81"/>
    <n v="0.02"/>
    <x v="580"/>
    <x v="580"/>
    <n v="77.64"/>
    <s v="Net Banking"/>
    <n v="2"/>
    <b v="0"/>
    <x v="1"/>
    <n v="9"/>
    <m/>
    <s v="Young Age"/>
  </r>
  <r>
    <s v="ORD-02736"/>
    <s v="30/03/2023"/>
    <s v="CUST35540"/>
    <s v="Kavya Reddy"/>
    <n v="26"/>
    <x v="1"/>
    <x v="1"/>
    <s v="Ahmedabad"/>
    <x v="4"/>
    <x v="14"/>
    <n v="8"/>
    <n v="1829.04"/>
    <n v="0.24"/>
    <x v="581"/>
    <x v="581"/>
    <n v="80.06"/>
    <s v="Net Banking"/>
    <n v="3"/>
    <b v="0"/>
    <x v="3"/>
    <n v="4"/>
    <m/>
    <s v="Mid Age"/>
  </r>
  <r>
    <s v="ORD-02856"/>
    <d v="2023-05-28T00:00:00"/>
    <s v="CUST18697"/>
    <s v="Karan Verma"/>
    <n v="54"/>
    <x v="2"/>
    <x v="2"/>
    <s v="Chandigarh"/>
    <x v="2"/>
    <x v="3"/>
    <n v="8"/>
    <n v="30782.92"/>
    <n v="0.11"/>
    <x v="582"/>
    <x v="582"/>
    <n v="61.27"/>
    <s v="EMI"/>
    <s v="N/A"/>
    <b v="0"/>
    <x v="1"/>
    <n v="2"/>
    <m/>
    <s v="Old Age"/>
  </r>
  <r>
    <s v="ORD-01999"/>
    <d v="2022-06-01T00:00:00"/>
    <s v="CUST83431"/>
    <s v="Aditya Patel"/>
    <n v="53"/>
    <x v="0"/>
    <x v="1"/>
    <s v="Mumbai"/>
    <x v="1"/>
    <x v="1"/>
    <n v="7"/>
    <n v="1167.8599999999999"/>
    <n v="0.15"/>
    <x v="583"/>
    <x v="583"/>
    <n v="56.89"/>
    <s v="Debit Card"/>
    <n v="2"/>
    <b v="0"/>
    <x v="1"/>
    <n v="8"/>
    <m/>
    <s v="Old Age"/>
  </r>
  <r>
    <s v="ORD-02823"/>
    <d v="2023-05-11T00:00:00"/>
    <s v="CUST96063"/>
    <s v="Shreya Iyer"/>
    <n v="25"/>
    <x v="0"/>
    <x v="2"/>
    <s v="Chandigarh"/>
    <x v="5"/>
    <x v="39"/>
    <n v="9"/>
    <n v="6647.49"/>
    <n v="0.34"/>
    <x v="584"/>
    <x v="584"/>
    <n v="51.47"/>
    <s v="Cash on Delivery"/>
    <n v="4"/>
    <b v="0"/>
    <x v="1"/>
    <n v="8"/>
    <m/>
    <s v="Young Age"/>
  </r>
  <r>
    <s v="ORD-00051"/>
    <d v="2020-01-20T00:00:00"/>
    <s v="CUST27973"/>
    <s v="Shreya Pillai"/>
    <n v="13"/>
    <x v="1"/>
    <x v="4"/>
    <s v="Hyderabad"/>
    <x v="1"/>
    <x v="37"/>
    <n v="6"/>
    <n v="1952.59"/>
    <n v="0.14000000000000001"/>
    <x v="585"/>
    <x v="585"/>
    <n v="38.17"/>
    <s v="Credit Card"/>
    <n v="1"/>
    <b v="0"/>
    <x v="4"/>
    <n v="8"/>
    <m/>
    <s v="Young Age"/>
  </r>
  <r>
    <s v="ORD-01937"/>
    <d v="2022-05-05T00:00:00"/>
    <s v="CUST01091"/>
    <s v="Sunita Das"/>
    <n v="32"/>
    <x v="1"/>
    <x v="1"/>
    <s v="Pune"/>
    <x v="1"/>
    <x v="41"/>
    <n v="3"/>
    <n v="1685.48"/>
    <n v="0.05"/>
    <x v="586"/>
    <x v="586"/>
    <n v="79.19"/>
    <s v="Debit Card"/>
    <n v="1"/>
    <b v="0"/>
    <x v="3"/>
    <n v="1"/>
    <m/>
    <s v="Mid Age"/>
  </r>
  <r>
    <s v="ORD-01851"/>
    <d v="2022-03-30T00:00:00"/>
    <s v="CUST81634"/>
    <s v="Ananya Kumar"/>
    <n v="36"/>
    <x v="1"/>
    <x v="1"/>
    <s v="Surat"/>
    <x v="5"/>
    <x v="15"/>
    <n v="1"/>
    <n v="28957.64"/>
    <n v="0.33"/>
    <x v="587"/>
    <x v="587"/>
    <n v="63.73"/>
    <s v="Debit Card"/>
    <n v="5"/>
    <b v="0"/>
    <x v="1"/>
    <n v="10"/>
    <m/>
    <s v="Mid Age"/>
  </r>
  <r>
    <s v="ORD-03966"/>
    <d v="2024-09-07T00:00:00"/>
    <s v="CUST46541"/>
    <s v="Deepa Das"/>
    <n v="32"/>
    <x v="0"/>
    <x v="3"/>
    <s v="Kolkata"/>
    <x v="1"/>
    <x v="37"/>
    <n v="3"/>
    <n v="1229.8800000000001"/>
    <n v="0.16"/>
    <x v="588"/>
    <x v="588"/>
    <n v="75.88"/>
    <s v="Credit Card"/>
    <n v="5"/>
    <b v="0"/>
    <x v="2"/>
    <n v="4"/>
    <m/>
    <s v="Mid Age"/>
  </r>
  <r>
    <s v="ORD-02914"/>
    <d v="2023-06-13T00:00:00"/>
    <s v="CUST62247"/>
    <s v="Aditya Rao"/>
    <n v="47"/>
    <x v="1"/>
    <x v="4"/>
    <s v="Hyderabad"/>
    <x v="4"/>
    <x v="6"/>
    <n v="2"/>
    <n v="1474.66"/>
    <n v="0.16"/>
    <x v="589"/>
    <x v="589"/>
    <n v="83"/>
    <s v="Cash on Delivery"/>
    <n v="2"/>
    <b v="0"/>
    <x v="1"/>
    <n v="9"/>
    <m/>
    <s v="Old Age"/>
  </r>
  <r>
    <s v="ORD-03096"/>
    <d v="2023-08-30T00:00:00"/>
    <s v="CUST81977"/>
    <s v="Sunita Verma"/>
    <n v="35"/>
    <x v="2"/>
    <x v="3"/>
    <s v="Patna"/>
    <x v="0"/>
    <x v="9"/>
    <n v="9"/>
    <n v="132.91"/>
    <n v="0.37"/>
    <x v="590"/>
    <x v="590"/>
    <n v="84.31"/>
    <s v="Cash on Delivery"/>
    <n v="1"/>
    <b v="0"/>
    <x v="1"/>
    <n v="4"/>
    <m/>
    <s v="Mid Age"/>
  </r>
  <r>
    <s v="ORD-02175"/>
    <d v="2022-08-12T00:00:00"/>
    <s v="CUST77531"/>
    <s v="Deepa Gupta"/>
    <n v="37"/>
    <x v="1"/>
    <x v="4"/>
    <s v="Kochi"/>
    <x v="1"/>
    <x v="41"/>
    <n v="2"/>
    <n v="2364.83"/>
    <n v="7.0000000000000007E-2"/>
    <x v="591"/>
    <x v="591"/>
    <n v="60.96"/>
    <s v="EMI"/>
    <n v="1"/>
    <b v="0"/>
    <x v="1"/>
    <n v="4"/>
    <m/>
    <s v="Mid Age"/>
  </r>
  <r>
    <s v="ORD-03027"/>
    <d v="2023-08-04T00:00:00"/>
    <s v="CUST20866"/>
    <s v="Kavya Rao"/>
    <n v="26"/>
    <x v="2"/>
    <x v="1"/>
    <s v="Pune"/>
    <x v="6"/>
    <x v="38"/>
    <n v="10"/>
    <n v="10231.86"/>
    <n v="0.33"/>
    <x v="592"/>
    <x v="592"/>
    <n v="40.200000000000003"/>
    <s v="Credit Card"/>
    <n v="2"/>
    <b v="0"/>
    <x v="1"/>
    <n v="9"/>
    <m/>
    <s v="Mid Age"/>
  </r>
  <r>
    <s v="ORD-03598"/>
    <d v="2024-04-14T00:00:00"/>
    <s v="CUST37246"/>
    <s v="Aarav Mehta"/>
    <n v="22"/>
    <x v="2"/>
    <x v="3"/>
    <s v="Patna"/>
    <x v="3"/>
    <x v="40"/>
    <n v="1"/>
    <n v="675.6"/>
    <n v="0.09"/>
    <x v="593"/>
    <x v="593"/>
    <n v="94.17"/>
    <s v="Net Banking"/>
    <n v="5"/>
    <b v="0"/>
    <x v="4"/>
    <n v="5"/>
    <m/>
    <s v="Young Age"/>
  </r>
  <r>
    <s v="ORD-02959"/>
    <d v="2023-07-06T00:00:00"/>
    <s v="CUST01768"/>
    <s v="Sunita Patel"/>
    <n v="34"/>
    <x v="2"/>
    <x v="0"/>
    <s v="Nagpur"/>
    <x v="5"/>
    <x v="17"/>
    <n v="3"/>
    <n v="69702.559999999998"/>
    <n v="0.36"/>
    <x v="594"/>
    <x v="594"/>
    <n v="72.010000000000005"/>
    <s v="EMI"/>
    <n v="5"/>
    <b v="0"/>
    <x v="1"/>
    <n v="2"/>
    <m/>
    <s v="Mid Age"/>
  </r>
  <r>
    <s v="ORD-03349"/>
    <d v="2023-12-20T00:00:00"/>
    <s v="CUST44606"/>
    <s v="Nisha Mehta"/>
    <n v="59"/>
    <x v="0"/>
    <x v="3"/>
    <s v="Kolkata"/>
    <x v="1"/>
    <x v="29"/>
    <n v="4"/>
    <n v="1670.09"/>
    <n v="0.39"/>
    <x v="595"/>
    <x v="595"/>
    <n v="94.95"/>
    <s v="UPI"/>
    <n v="1"/>
    <b v="1"/>
    <x v="0"/>
    <n v="6"/>
    <m/>
    <s v="Old Age"/>
  </r>
  <r>
    <s v="ORD-03923"/>
    <d v="2024-08-20T00:00:00"/>
    <s v="CUST86711"/>
    <s v="Ritu Chatterjee"/>
    <n v="20"/>
    <x v="2"/>
    <x v="1"/>
    <s v="Ahmedabad"/>
    <x v="2"/>
    <x v="3"/>
    <n v="7"/>
    <n v="14200.86"/>
    <n v="0.14000000000000001"/>
    <x v="596"/>
    <x v="596"/>
    <n v="54.52"/>
    <s v="Debit Card"/>
    <n v="2"/>
    <b v="0"/>
    <x v="1"/>
    <n v="10"/>
    <m/>
    <s v="Young Age"/>
  </r>
  <r>
    <s v="ORD-01417"/>
    <d v="2021-09-30T00:00:00"/>
    <s v="CUST32469"/>
    <s v="Aditya Das"/>
    <n v="31"/>
    <x v="1"/>
    <x v="3"/>
    <s v="Patna"/>
    <x v="3"/>
    <x v="19"/>
    <n v="3"/>
    <n v="751.24"/>
    <n v="0.34"/>
    <x v="597"/>
    <x v="597"/>
    <n v="103.5"/>
    <s v="Debit Card"/>
    <n v="3"/>
    <b v="0"/>
    <x v="1"/>
    <n v="10"/>
    <m/>
    <s v="Mid Age"/>
  </r>
  <r>
    <s v="ORD-03066"/>
    <d v="2023-08-18T00:00:00"/>
    <s v="CUST82969"/>
    <s v="Ritu Joshi"/>
    <n v="50"/>
    <x v="2"/>
    <x v="4"/>
    <s v="Hyderabad"/>
    <x v="2"/>
    <x v="8"/>
    <n v="7"/>
    <n v="34829.83"/>
    <n v="0.27"/>
    <x v="598"/>
    <x v="598"/>
    <n v="74.92"/>
    <s v="EMI"/>
    <n v="1"/>
    <b v="0"/>
    <x v="1"/>
    <n v="9"/>
    <m/>
    <s v="Old Age"/>
  </r>
  <r>
    <s v="ORD-00432"/>
    <d v="2020-07-09T00:00:00"/>
    <s v="CUST05737"/>
    <s v="Karan Bose"/>
    <n v="36"/>
    <x v="0"/>
    <x v="4"/>
    <s v="Chennai"/>
    <x v="4"/>
    <x v="12"/>
    <n v="2"/>
    <n v="2956.54"/>
    <n v="0.38"/>
    <x v="599"/>
    <x v="599"/>
    <n v="80.22"/>
    <s v="Debit Card"/>
    <n v="4"/>
    <b v="0"/>
    <x v="1"/>
    <n v="3"/>
    <m/>
    <s v="Mid Age"/>
  </r>
  <r>
    <s v="ORD-03073"/>
    <d v="2023-08-20T00:00:00"/>
    <s v="CUST40607"/>
    <s v="Amit Kapoor"/>
    <n v="29"/>
    <x v="1"/>
    <x v="0"/>
    <s v="Bhopal"/>
    <x v="6"/>
    <x v="27"/>
    <n v="4"/>
    <n v="5660.42"/>
    <n v="0.24"/>
    <x v="600"/>
    <x v="600"/>
    <n v="52.61"/>
    <s v="UPI"/>
    <n v="5"/>
    <b v="0"/>
    <x v="4"/>
    <n v="6"/>
    <m/>
    <s v="Mid Age"/>
  </r>
  <r>
    <s v="ORD-00064"/>
    <d v="2020-01-23T00:00:00"/>
    <s v="CUST37898"/>
    <s v="Shreya Patel"/>
    <n v="53"/>
    <x v="2"/>
    <x v="2"/>
    <s v="Ludhiana"/>
    <x v="4"/>
    <x v="7"/>
    <n v="1"/>
    <n v="3054"/>
    <n v="0.03"/>
    <x v="601"/>
    <x v="601"/>
    <n v="82.49"/>
    <s v="EMI"/>
    <n v="4"/>
    <b v="0"/>
    <x v="1"/>
    <n v="9"/>
    <m/>
    <s v="Old Age"/>
  </r>
  <r>
    <s v="ORD-03968"/>
    <d v="2024-09-08T00:00:00"/>
    <s v="CUST99406"/>
    <s v="Ritu Gupta"/>
    <n v="28"/>
    <x v="0"/>
    <x v="1"/>
    <s v="Ahmedabad"/>
    <x v="4"/>
    <x v="26"/>
    <n v="1"/>
    <n v="3018.11"/>
    <n v="0"/>
    <x v="602"/>
    <x v="602"/>
    <n v="65.86"/>
    <s v="Debit Card"/>
    <n v="3"/>
    <b v="0"/>
    <x v="3"/>
    <n v="3"/>
    <m/>
    <s v="Mid Age"/>
  </r>
  <r>
    <s v="ORD-00447"/>
    <d v="2020-07-16T00:00:00"/>
    <s v="CUST75670"/>
    <s v="Kavya Mehta"/>
    <n v="20"/>
    <x v="0"/>
    <x v="3"/>
    <s v="Patna"/>
    <x v="3"/>
    <x v="40"/>
    <n v="4"/>
    <n v="585.03"/>
    <n v="0.39"/>
    <x v="603"/>
    <x v="603"/>
    <n v="105.88"/>
    <s v="Net Banking"/>
    <n v="5"/>
    <b v="0"/>
    <x v="1"/>
    <n v="1"/>
    <m/>
    <s v="Young Age"/>
  </r>
  <r>
    <s v="ORD-00174"/>
    <d v="2020-03-16T00:00:00"/>
    <s v="CUST91348"/>
    <s v="Meera Reddy"/>
    <n v="35"/>
    <x v="0"/>
    <x v="2"/>
    <s v="Chandigarh"/>
    <x v="0"/>
    <x v="36"/>
    <n v="9"/>
    <n v="167.67"/>
    <n v="0.25"/>
    <x v="604"/>
    <x v="604"/>
    <n v="68.23"/>
    <s v="Cash on Delivery"/>
    <n v="1"/>
    <b v="0"/>
    <x v="1"/>
    <n v="7"/>
    <m/>
    <s v="Mid Age"/>
  </r>
  <r>
    <s v="ORD-03612"/>
    <d v="2024-04-21T00:00:00"/>
    <s v="CUST81078"/>
    <s v="Shreya Mishra"/>
    <n v="46"/>
    <x v="2"/>
    <x v="2"/>
    <s v="Delhi"/>
    <x v="3"/>
    <x v="30"/>
    <n v="9"/>
    <n v="518.92999999999995"/>
    <n v="0.18"/>
    <x v="605"/>
    <x v="605"/>
    <n v="33.549999999999997"/>
    <s v="Net Banking"/>
    <n v="3"/>
    <b v="0"/>
    <x v="1"/>
    <n v="3"/>
    <m/>
    <s v="Old Age"/>
  </r>
  <r>
    <s v="ORD-03829"/>
    <d v="2024-07-23T00:00:00"/>
    <s v="CUST62705"/>
    <s v="Sunita Rao"/>
    <n v="12"/>
    <x v="0"/>
    <x v="4"/>
    <s v="Kochi"/>
    <x v="3"/>
    <x v="32"/>
    <n v="9"/>
    <n v="1016.4"/>
    <n v="0.28000000000000003"/>
    <x v="606"/>
    <x v="606"/>
    <n v="85.13"/>
    <s v="EMI"/>
    <n v="2"/>
    <b v="0"/>
    <x v="1"/>
    <n v="5"/>
    <m/>
    <s v="Young Age"/>
  </r>
  <r>
    <s v="ORD-00685"/>
    <d v="2020-06-11T00:00:00"/>
    <s v="CUST18067"/>
    <s v="Amit Mishra"/>
    <s v="N/A"/>
    <x v="2"/>
    <x v="4"/>
    <s v="Hyderabad"/>
    <x v="6"/>
    <x v="22"/>
    <n v="1"/>
    <n v="1702.99"/>
    <n v="0.09"/>
    <x v="607"/>
    <x v="607"/>
    <n v="73.430000000000007"/>
    <s v="Credit Card"/>
    <n v="5"/>
    <b v="0"/>
    <x v="1"/>
    <n v="4"/>
    <m/>
    <s v="Old Age"/>
  </r>
  <r>
    <s v="ORD-04098"/>
    <d v="2024-11-15T00:00:00"/>
    <s v="CUST64023"/>
    <s v="Karan Nair"/>
    <n v="23"/>
    <x v="1"/>
    <x v="4"/>
    <s v="Hyderabad"/>
    <x v="2"/>
    <x v="28"/>
    <n v="9"/>
    <n v="21959.46"/>
    <n v="0.26"/>
    <x v="608"/>
    <x v="608"/>
    <n v="58.03"/>
    <s v="Debit Card"/>
    <n v="1"/>
    <b v="0"/>
    <x v="1"/>
    <n v="3"/>
    <m/>
    <s v="Young Age"/>
  </r>
  <r>
    <s v="ORD-00959"/>
    <d v="2021-03-11T00:00:00"/>
    <s v="CUST32919"/>
    <s v="Ritu Patel"/>
    <s v="N/A"/>
    <x v="2"/>
    <x v="2"/>
    <s v="Chandigarh"/>
    <x v="5"/>
    <x v="15"/>
    <n v="7"/>
    <n v="75319.55"/>
    <n v="0.06"/>
    <x v="609"/>
    <x v="609"/>
    <n v="44.32"/>
    <s v="Debit Card"/>
    <s v="N/A"/>
    <b v="0"/>
    <x v="1"/>
    <n v="3"/>
    <m/>
    <s v="Old Age"/>
  </r>
  <r>
    <s v="ORD-03243"/>
    <d v="2023-11-02T00:00:00"/>
    <s v="CUST21449"/>
    <s v="Rahul Bose"/>
    <n v="36"/>
    <x v="0"/>
    <x v="0"/>
    <s v="Nagpur"/>
    <x v="2"/>
    <x v="3"/>
    <n v="6"/>
    <n v="12617.99"/>
    <n v="0.05"/>
    <x v="610"/>
    <x v="610"/>
    <n v="32.57"/>
    <s v="Debit Card"/>
    <n v="4"/>
    <b v="0"/>
    <x v="1"/>
    <n v="9"/>
    <m/>
    <s v="Mid Age"/>
  </r>
  <r>
    <s v="ORD-00153"/>
    <d v="2020-03-03T00:00:00"/>
    <s v="CUST65087"/>
    <s v="Sunita Reddy"/>
    <n v="35"/>
    <x v="2"/>
    <x v="3"/>
    <s v="Kolkata"/>
    <x v="3"/>
    <x v="11"/>
    <n v="1"/>
    <n v="928.19"/>
    <n v="0.28999999999999998"/>
    <x v="611"/>
    <x v="611"/>
    <n v="65.349999999999994"/>
    <s v="Net Banking"/>
    <n v="5"/>
    <b v="0"/>
    <x v="3"/>
    <n v="9"/>
    <m/>
    <s v="Mid Age"/>
  </r>
  <r>
    <s v="ORD-01408"/>
    <d v="2021-09-26T00:00:00"/>
    <s v="CUST69520"/>
    <s v="Sanjay Singh"/>
    <n v="31"/>
    <x v="0"/>
    <x v="1"/>
    <s v="Mumbai"/>
    <x v="4"/>
    <x v="16"/>
    <n v="6"/>
    <n v="1744.18"/>
    <n v="0.2"/>
    <x v="612"/>
    <x v="612"/>
    <n v="72.31"/>
    <s v="Cash on Delivery"/>
    <n v="5"/>
    <b v="0"/>
    <x v="4"/>
    <n v="5"/>
    <m/>
    <s v="Mid Age"/>
  </r>
  <r>
    <s v="ORD-03874"/>
    <d v="2024-08-07T00:00:00"/>
    <s v="CUST96272"/>
    <s v="Meera Shah"/>
    <s v="N/A"/>
    <x v="2"/>
    <x v="2"/>
    <s v="Ludhiana"/>
    <x v="1"/>
    <x v="10"/>
    <n v="8"/>
    <n v="1652.49"/>
    <n v="0.27"/>
    <x v="613"/>
    <x v="613"/>
    <n v="26.94"/>
    <s v="Net Banking"/>
    <n v="1"/>
    <b v="0"/>
    <x v="1"/>
    <n v="2"/>
    <m/>
    <s v="Old Age"/>
  </r>
  <r>
    <s v="ORD-02425"/>
    <d v="2022-11-15T00:00:00"/>
    <s v="CUST81941"/>
    <s v="Aditya Iyer"/>
    <n v="36"/>
    <x v="1"/>
    <x v="2"/>
    <s v="Chandigarh"/>
    <x v="6"/>
    <x v="20"/>
    <n v="4"/>
    <n v="1627.2"/>
    <n v="0.35"/>
    <x v="614"/>
    <x v="614"/>
    <n v="32.06"/>
    <s v="EMI"/>
    <n v="4"/>
    <b v="0"/>
    <x v="1"/>
    <n v="1"/>
    <m/>
    <s v="Mid Age"/>
  </r>
  <r>
    <s v="ORD-01605"/>
    <d v="2021-12-16T00:00:00"/>
    <s v="CUST74310"/>
    <s v="Rohan Bhat"/>
    <n v="29"/>
    <x v="2"/>
    <x v="1"/>
    <s v="Surat"/>
    <x v="4"/>
    <x v="14"/>
    <n v="1"/>
    <n v="3977.51"/>
    <n v="0.3"/>
    <x v="615"/>
    <x v="615"/>
    <n v="61.65"/>
    <s v="UPI"/>
    <n v="1"/>
    <b v="0"/>
    <x v="1"/>
    <n v="9"/>
    <m/>
    <s v="Mid Age"/>
  </r>
  <r>
    <s v="ORD-03886"/>
    <d v="2024-08-09T00:00:00"/>
    <s v="CUST37843"/>
    <s v="Rahul Iyer"/>
    <n v="22"/>
    <x v="0"/>
    <x v="1"/>
    <s v="Mumbai"/>
    <x v="3"/>
    <x v="11"/>
    <n v="10"/>
    <n v="742.8"/>
    <n v="0.27"/>
    <x v="616"/>
    <x v="616"/>
    <n v="49.53"/>
    <s v="Cash on Delivery"/>
    <n v="5"/>
    <b v="0"/>
    <x v="1"/>
    <n v="2"/>
    <m/>
    <s v="Young Age"/>
  </r>
  <r>
    <s v="ORD-00508"/>
    <d v="2020-08-13T00:00:00"/>
    <s v="CUST12889"/>
    <s v="Priya Verma"/>
    <n v="21"/>
    <x v="0"/>
    <x v="1"/>
    <s v="Surat"/>
    <x v="0"/>
    <x v="0"/>
    <n v="10"/>
    <n v="321.17"/>
    <n v="0.36"/>
    <x v="617"/>
    <x v="617"/>
    <n v="51.28"/>
    <s v="Net Banking"/>
    <n v="5"/>
    <b v="0"/>
    <x v="1"/>
    <n v="1"/>
    <m/>
    <s v="Young Age"/>
  </r>
  <r>
    <s v="ORD-00161"/>
    <d v="2020-03-09T00:00:00"/>
    <s v="CUST18225"/>
    <s v="Deepa Chatterjee"/>
    <n v="33"/>
    <x v="1"/>
    <x v="4"/>
    <s v="Hyderabad"/>
    <x v="3"/>
    <x v="32"/>
    <n v="6"/>
    <n v="997.06"/>
    <n v="0.35"/>
    <x v="618"/>
    <x v="618"/>
    <n v="49.84"/>
    <s v="Cash on Delivery"/>
    <s v="N/A"/>
    <b v="0"/>
    <x v="1"/>
    <n v="4"/>
    <m/>
    <s v="Mid Age"/>
  </r>
  <r>
    <s v="ORD-02799"/>
    <d v="2023-04-28T00:00:00"/>
    <s v="CUST04344"/>
    <s v="Rahul Bose"/>
    <n v="35"/>
    <x v="2"/>
    <x v="4"/>
    <s v="Hyderabad"/>
    <x v="0"/>
    <x v="36"/>
    <n v="10"/>
    <n v="310.75"/>
    <n v="0.28000000000000003"/>
    <x v="619"/>
    <x v="619"/>
    <n v="68.83"/>
    <s v="EMI"/>
    <n v="3"/>
    <b v="0"/>
    <x v="1"/>
    <n v="7"/>
    <m/>
    <s v="Mid Age"/>
  </r>
  <r>
    <s v="ORD-03209"/>
    <d v="2023-10-19T00:00:00"/>
    <s v="CUST57413"/>
    <s v="Karan Patel"/>
    <n v="23"/>
    <x v="2"/>
    <x v="0"/>
    <s v="Indore"/>
    <x v="6"/>
    <x v="31"/>
    <n v="3"/>
    <n v="13795.34"/>
    <n v="0.33"/>
    <x v="620"/>
    <x v="620"/>
    <n v="39.479999999999997"/>
    <s v="Credit Card"/>
    <n v="5"/>
    <b v="0"/>
    <x v="1"/>
    <n v="9"/>
    <m/>
    <s v="Young Age"/>
  </r>
  <r>
    <s v="ORD-02760"/>
    <d v="2023-04-10T00:00:00"/>
    <s v="CUST27593"/>
    <s v="Nikhil Shah"/>
    <n v="49"/>
    <x v="1"/>
    <x v="1"/>
    <s v="Pune"/>
    <x v="6"/>
    <x v="31"/>
    <n v="3"/>
    <n v="11672.79"/>
    <n v="0.26"/>
    <x v="621"/>
    <x v="621"/>
    <n v="77.349999999999994"/>
    <s v="EMI"/>
    <n v="2"/>
    <b v="0"/>
    <x v="4"/>
    <n v="2"/>
    <m/>
    <s v="Old Age"/>
  </r>
  <r>
    <s v="ORD-01910"/>
    <d v="2022-04-24T00:00:00"/>
    <s v="CUST00866"/>
    <s v="Nisha Joshi"/>
    <n v="18"/>
    <x v="2"/>
    <x v="0"/>
    <s v="Raipur"/>
    <x v="5"/>
    <x v="15"/>
    <n v="1"/>
    <n v="23696.79"/>
    <n v="0.36"/>
    <x v="622"/>
    <x v="622"/>
    <n v="18.02"/>
    <s v="EMI"/>
    <n v="4"/>
    <b v="0"/>
    <x v="1"/>
    <n v="9"/>
    <m/>
    <s v="Young Age"/>
  </r>
  <r>
    <s v="ORD-03867"/>
    <d v="2024-08-05T00:00:00"/>
    <s v="CUST39793"/>
    <s v="Shreya Mishra"/>
    <n v="48"/>
    <x v="1"/>
    <x v="4"/>
    <s v="Kochi"/>
    <x v="5"/>
    <x v="21"/>
    <n v="8"/>
    <n v="50411.34"/>
    <n v="0.17"/>
    <x v="623"/>
    <x v="623"/>
    <n v="56.86"/>
    <s v="UPI"/>
    <n v="2"/>
    <b v="0"/>
    <x v="1"/>
    <n v="7"/>
    <m/>
    <s v="Old Age"/>
  </r>
  <r>
    <s v="ORD-00740"/>
    <d v="2020-12-03T00:00:00"/>
    <s v="CUST43436"/>
    <s v="Aarav Verma"/>
    <n v="36"/>
    <x v="2"/>
    <x v="3"/>
    <s v="Bhubaneswar"/>
    <x v="1"/>
    <x v="29"/>
    <n v="5"/>
    <n v="1245.93"/>
    <n v="0.14000000000000001"/>
    <x v="624"/>
    <x v="624"/>
    <n v="84.66"/>
    <s v="Cash on Delivery"/>
    <n v="4"/>
    <b v="0"/>
    <x v="1"/>
    <n v="4"/>
    <m/>
    <s v="Mid Age"/>
  </r>
  <r>
    <s v="ORD-03403"/>
    <d v="2024-01-13T00:00:00"/>
    <s v="CUST49423"/>
    <s v="Ananya Rao"/>
    <n v="43"/>
    <x v="1"/>
    <x v="2"/>
    <s v="Ludhiana"/>
    <x v="2"/>
    <x v="3"/>
    <n v="4"/>
    <n v="10877.51"/>
    <n v="0.4"/>
    <x v="625"/>
    <x v="625"/>
    <n v="72.069999999999993"/>
    <s v="Net Banking"/>
    <n v="5"/>
    <b v="0"/>
    <x v="1"/>
    <n v="9"/>
    <m/>
    <s v="Old Age"/>
  </r>
  <r>
    <s v="ORD-03091"/>
    <d v="2023-08-29T00:00:00"/>
    <s v="CUST39206"/>
    <s v="Amit Mehta"/>
    <n v="32"/>
    <x v="0"/>
    <x v="4"/>
    <s v="Kochi"/>
    <x v="2"/>
    <x v="28"/>
    <n v="6"/>
    <n v="11929.15"/>
    <n v="0.13"/>
    <x v="626"/>
    <x v="626"/>
    <n v="66.849999999999994"/>
    <s v="Net Banking"/>
    <n v="5"/>
    <b v="0"/>
    <x v="3"/>
    <n v="4"/>
    <m/>
    <s v="Mid Age"/>
  </r>
  <r>
    <s v="ORD-02040"/>
    <d v="2022-06-17T00:00:00"/>
    <s v="CUST10264"/>
    <s v="Ritu Bose"/>
    <n v="21"/>
    <x v="0"/>
    <x v="2"/>
    <s v="Ludhiana"/>
    <x v="1"/>
    <x v="23"/>
    <n v="9"/>
    <n v="217.37"/>
    <n v="0.23"/>
    <x v="627"/>
    <x v="627"/>
    <n v="51.63"/>
    <s v="EMI"/>
    <n v="2"/>
    <b v="1"/>
    <x v="0"/>
    <n v="8"/>
    <m/>
    <s v="Young Age"/>
  </r>
  <r>
    <s v="ORD-03367"/>
    <d v="2023-12-29T00:00:00"/>
    <s v="CUST44669"/>
    <s v="Sunita Mishra"/>
    <n v="33"/>
    <x v="0"/>
    <x v="0"/>
    <s v="Bhopal"/>
    <x v="5"/>
    <x v="39"/>
    <n v="4"/>
    <n v="76576.240000000005"/>
    <n v="0.36"/>
    <x v="628"/>
    <x v="628"/>
    <n v="60.02"/>
    <s v="Net Banking"/>
    <n v="5"/>
    <b v="0"/>
    <x v="1"/>
    <n v="2"/>
    <m/>
    <s v="Mid Age"/>
  </r>
  <r>
    <s v="ORD-00724"/>
    <d v="2020-11-27T00:00:00"/>
    <s v="CUST48812"/>
    <s v="Arjun Reddy"/>
    <n v="25"/>
    <x v="0"/>
    <x v="2"/>
    <s v="Delhi"/>
    <x v="6"/>
    <x v="38"/>
    <n v="1"/>
    <n v="8581.84"/>
    <n v="0.17"/>
    <x v="629"/>
    <x v="629"/>
    <n v="62.41"/>
    <s v="UPI"/>
    <n v="3"/>
    <b v="0"/>
    <x v="1"/>
    <n v="6"/>
    <m/>
    <s v="Young Age"/>
  </r>
  <r>
    <s v="ORD-00841"/>
    <d v="2021-01-20T00:00:00"/>
    <s v="CUST59671"/>
    <s v="Vikram Bhat"/>
    <n v="28"/>
    <x v="2"/>
    <x v="3"/>
    <s v="Bhubaneswar"/>
    <x v="0"/>
    <x v="34"/>
    <n v="4"/>
    <n v="246.81"/>
    <n v="0.32"/>
    <x v="630"/>
    <x v="630"/>
    <n v="95.51"/>
    <s v="Cash on Delivery"/>
    <n v="2"/>
    <b v="0"/>
    <x v="3"/>
    <n v="6"/>
    <m/>
    <s v="Mid Age"/>
  </r>
  <r>
    <s v="ORD-02154"/>
    <d v="2022-03-08T00:00:00"/>
    <s v="CUST23836"/>
    <s v="Karan Rao"/>
    <n v="30"/>
    <x v="2"/>
    <x v="1"/>
    <s v="Surat"/>
    <x v="4"/>
    <x v="6"/>
    <n v="8"/>
    <n v="1988.03"/>
    <n v="0.22"/>
    <x v="631"/>
    <x v="631"/>
    <n v="66.849999999999994"/>
    <s v="Cash on Delivery"/>
    <s v="N/A"/>
    <b v="0"/>
    <x v="1"/>
    <n v="5"/>
    <m/>
    <s v="Mid Age"/>
  </r>
  <r>
    <s v="ORD-02230"/>
    <d v="2022-08-30T00:00:00"/>
    <s v="CUST49677"/>
    <s v="Vikram Rao"/>
    <n v="36"/>
    <x v="0"/>
    <x v="3"/>
    <s v="Kolkata"/>
    <x v="6"/>
    <x v="18"/>
    <n v="5"/>
    <n v="13503.49"/>
    <n v="7.0000000000000007E-2"/>
    <x v="632"/>
    <x v="632"/>
    <n v="81.11"/>
    <s v="Debit Card"/>
    <n v="3"/>
    <b v="0"/>
    <x v="1"/>
    <n v="9"/>
    <m/>
    <s v="Mid Age"/>
  </r>
  <r>
    <s v="ORD-00031"/>
    <d v="2020-01-12T00:00:00"/>
    <s v="CUST59076"/>
    <s v="Nisha Shah"/>
    <s v="N/A"/>
    <x v="1"/>
    <x v="1"/>
    <s v="Mumbai"/>
    <x v="2"/>
    <x v="3"/>
    <n v="9"/>
    <n v="5472.53"/>
    <n v="0.02"/>
    <x v="633"/>
    <x v="633"/>
    <n v="69.37"/>
    <s v="Net Banking"/>
    <n v="2"/>
    <b v="0"/>
    <x v="1"/>
    <n v="3"/>
    <m/>
    <s v="Old Age"/>
  </r>
  <r>
    <s v="ORD-02694"/>
    <d v="2023-03-14T00:00:00"/>
    <s v="CUST76215"/>
    <s v="Ananya Reddy"/>
    <n v="49"/>
    <x v="2"/>
    <x v="2"/>
    <s v="Chandigarh"/>
    <x v="4"/>
    <x v="12"/>
    <n v="9"/>
    <n v="3251.19"/>
    <n v="0.13"/>
    <x v="634"/>
    <x v="634"/>
    <n v="70.98"/>
    <s v="Debit Card"/>
    <n v="2"/>
    <b v="1"/>
    <x v="0"/>
    <n v="9"/>
    <m/>
    <s v="Old Age"/>
  </r>
  <r>
    <s v="ORD-03260"/>
    <d v="2023-11-09T00:00:00"/>
    <s v="CUST04203"/>
    <s v="Ananya Patel"/>
    <n v="41"/>
    <x v="2"/>
    <x v="0"/>
    <s v="Bhopal"/>
    <x v="1"/>
    <x v="23"/>
    <n v="4"/>
    <n v="1738.78"/>
    <n v="7.0000000000000007E-2"/>
    <x v="635"/>
    <x v="635"/>
    <n v="61.38"/>
    <s v="Net Banking"/>
    <n v="1"/>
    <b v="1"/>
    <x v="0"/>
    <n v="2"/>
    <m/>
    <s v="Old Age"/>
  </r>
  <r>
    <s v="ORD-00624"/>
    <d v="2020-10-06T00:00:00"/>
    <s v="CUST07175"/>
    <s v="Kavya Joshi"/>
    <n v="44"/>
    <x v="1"/>
    <x v="3"/>
    <s v="Kolkata"/>
    <x v="5"/>
    <x v="33"/>
    <n v="8"/>
    <n v="67654.44"/>
    <n v="0.02"/>
    <x v="636"/>
    <x v="636"/>
    <n v="62.12"/>
    <s v="EMI"/>
    <n v="2"/>
    <b v="0"/>
    <x v="2"/>
    <n v="6"/>
    <m/>
    <s v="Old Age"/>
  </r>
  <r>
    <s v="ORD-02814"/>
    <d v="2023-05-04T00:00:00"/>
    <s v="CUST78368"/>
    <s v="Nisha Iyer"/>
    <n v="31"/>
    <x v="1"/>
    <x v="3"/>
    <s v="Bhubaneswar"/>
    <x v="4"/>
    <x v="26"/>
    <n v="3"/>
    <n v="3314.75"/>
    <n v="0.06"/>
    <x v="637"/>
    <x v="637"/>
    <n v="85.4"/>
    <s v="Debit Card"/>
    <n v="2"/>
    <b v="0"/>
    <x v="1"/>
    <n v="8"/>
    <m/>
    <s v="Mid Age"/>
  </r>
  <r>
    <s v="ORD-02201"/>
    <d v="2022-08-17T00:00:00"/>
    <s v="CUST38678"/>
    <s v="Karan Reddy"/>
    <n v="25"/>
    <x v="1"/>
    <x v="1"/>
    <s v="Surat"/>
    <x v="5"/>
    <x v="17"/>
    <n v="4"/>
    <n v="67647.58"/>
    <n v="7.0000000000000007E-2"/>
    <x v="638"/>
    <x v="638"/>
    <n v="52.43"/>
    <s v="EMI"/>
    <n v="2"/>
    <b v="0"/>
    <x v="1"/>
    <n v="8"/>
    <m/>
    <s v="Young Age"/>
  </r>
  <r>
    <s v="ORD-00209"/>
    <d v="2020-04-01T00:00:00"/>
    <s v="CUST38184"/>
    <s v="Amit Bhat"/>
    <n v="43"/>
    <x v="0"/>
    <x v="2"/>
    <s v="Chandigarh"/>
    <x v="3"/>
    <x v="30"/>
    <n v="2"/>
    <n v="630.66"/>
    <n v="0.15"/>
    <x v="639"/>
    <x v="639"/>
    <n v="75.819999999999993"/>
    <s v="Cash on Delivery"/>
    <s v="N/A"/>
    <b v="0"/>
    <x v="1"/>
    <n v="6"/>
    <m/>
    <s v="Old Age"/>
  </r>
  <r>
    <s v="ORD-02795"/>
    <d v="2023-04-26T00:00:00"/>
    <s v="CUST45978"/>
    <s v="Nikhil Iyer"/>
    <n v="26"/>
    <x v="1"/>
    <x v="1"/>
    <s v="Mumbai"/>
    <x v="1"/>
    <x v="41"/>
    <n v="8"/>
    <n v="566.96"/>
    <n v="0.36"/>
    <x v="640"/>
    <x v="640"/>
    <n v="60.59"/>
    <s v="Debit Card"/>
    <n v="3"/>
    <b v="0"/>
    <x v="1"/>
    <n v="5"/>
    <m/>
    <s v="Mid Age"/>
  </r>
  <r>
    <s v="ORD-00552"/>
    <d v="2020-09-02T00:00:00"/>
    <s v="CUST21371"/>
    <s v="Pooja Rao"/>
    <s v="N/A"/>
    <x v="1"/>
    <x v="1"/>
    <s v="Mumbai"/>
    <x v="1"/>
    <x v="29"/>
    <n v="2"/>
    <n v="2054.29"/>
    <n v="0.27"/>
    <x v="641"/>
    <x v="641"/>
    <n v="51.63"/>
    <s v="Credit Card"/>
    <n v="2"/>
    <b v="0"/>
    <x v="3"/>
    <n v="10"/>
    <m/>
    <s v="Old Age"/>
  </r>
  <r>
    <s v="ORD-02373"/>
    <d v="2022-10-23T00:00:00"/>
    <s v="CUST88880"/>
    <s v="Nisha Shah"/>
    <n v="8"/>
    <x v="1"/>
    <x v="1"/>
    <s v="Surat"/>
    <x v="5"/>
    <x v="39"/>
    <n v="6"/>
    <n v="79286.42"/>
    <n v="0.37"/>
    <x v="642"/>
    <x v="642"/>
    <n v="61.66"/>
    <s v="Debit Card"/>
    <s v="N/A"/>
    <b v="0"/>
    <x v="1"/>
    <n v="8"/>
    <m/>
    <s v="Young Age"/>
  </r>
  <r>
    <s v="ORD-01147"/>
    <d v="2021-05-30T00:00:00"/>
    <s v="CUST78239"/>
    <s v="Pooja Chatterjee"/>
    <n v="36"/>
    <x v="0"/>
    <x v="4"/>
    <s v="Hyderabad"/>
    <x v="4"/>
    <x v="26"/>
    <n v="6"/>
    <n v="3055.06"/>
    <n v="0"/>
    <x v="643"/>
    <x v="643"/>
    <n v="69.22"/>
    <s v="EMI"/>
    <s v="N/A"/>
    <b v="0"/>
    <x v="1"/>
    <n v="4"/>
    <m/>
    <s v="Mid Age"/>
  </r>
  <r>
    <s v="ORD-00563"/>
    <d v="2020-09-07T00:00:00"/>
    <s v="CUST44323"/>
    <s v="Ritu Bose"/>
    <n v="33"/>
    <x v="2"/>
    <x v="4"/>
    <s v="Bangalore"/>
    <x v="3"/>
    <x v="11"/>
    <n v="6"/>
    <n v="1105.96"/>
    <n v="0.28999999999999998"/>
    <x v="392"/>
    <x v="392"/>
    <n v="67.650000000000006"/>
    <s v="Debit Card"/>
    <n v="3"/>
    <b v="1"/>
    <x v="0"/>
    <s v="N/A"/>
    <m/>
    <s v="Mid Age"/>
  </r>
  <r>
    <s v="ORD-03780"/>
    <d v="2024-07-03T00:00:00"/>
    <s v="CUST38828"/>
    <s v="Shreya Bose"/>
    <n v="45"/>
    <x v="1"/>
    <x v="0"/>
    <s v="Raipur"/>
    <x v="0"/>
    <x v="35"/>
    <n v="9"/>
    <n v="276.93"/>
    <n v="0.27"/>
    <x v="644"/>
    <x v="644"/>
    <n v="47.94"/>
    <s v="UPI"/>
    <s v="N/A"/>
    <b v="0"/>
    <x v="1"/>
    <n v="6"/>
    <m/>
    <s v="Old Age"/>
  </r>
  <r>
    <s v="ORD-00097"/>
    <d v="2020-02-07T00:00:00"/>
    <s v="CUST92061"/>
    <s v="Aditya Kumar"/>
    <n v="27"/>
    <x v="0"/>
    <x v="4"/>
    <s v="Kochi"/>
    <x v="1"/>
    <x v="23"/>
    <n v="1"/>
    <n v="918.65"/>
    <n v="0.09"/>
    <x v="645"/>
    <x v="645"/>
    <n v="73.92"/>
    <s v="Credit Card"/>
    <n v="3"/>
    <b v="0"/>
    <x v="4"/>
    <n v="10"/>
    <m/>
    <s v="Mid Age"/>
  </r>
  <r>
    <s v="ORD-03102"/>
    <d v="2023-09-03T00:00:00"/>
    <s v="CUST37184"/>
    <s v="Karan Verma"/>
    <n v="25"/>
    <x v="1"/>
    <x v="0"/>
    <s v="Raipur"/>
    <x v="2"/>
    <x v="3"/>
    <n v="1"/>
    <n v="11522.93"/>
    <n v="0.02"/>
    <x v="646"/>
    <x v="646"/>
    <n v="65.430000000000007"/>
    <s v="UPI"/>
    <n v="5"/>
    <b v="0"/>
    <x v="1"/>
    <n v="5"/>
    <m/>
    <s v="Young Age"/>
  </r>
  <r>
    <s v="ORD-03648"/>
    <d v="2024-05-04T00:00:00"/>
    <s v="CUST67942"/>
    <s v="Rohan Bhat"/>
    <n v="28"/>
    <x v="1"/>
    <x v="1"/>
    <s v="Ahmedabad"/>
    <x v="5"/>
    <x v="15"/>
    <n v="2"/>
    <n v="32171.040000000001"/>
    <n v="0.1"/>
    <x v="647"/>
    <x v="647"/>
    <n v="70.88"/>
    <s v="Debit Card"/>
    <n v="3"/>
    <b v="1"/>
    <x v="0"/>
    <n v="7"/>
    <m/>
    <s v="Mid Age"/>
  </r>
  <r>
    <s v="ORD-02349"/>
    <d v="2022-10-13T00:00:00"/>
    <s v="CUST17978"/>
    <s v="Meera Verma"/>
    <n v="55"/>
    <x v="0"/>
    <x v="0"/>
    <s v="Nagpur"/>
    <x v="5"/>
    <x v="21"/>
    <n v="7"/>
    <n v="16843.150000000001"/>
    <n v="0.36"/>
    <x v="648"/>
    <x v="648"/>
    <n v="81.28"/>
    <s v="Cash on Delivery"/>
    <n v="3"/>
    <b v="0"/>
    <x v="1"/>
    <n v="3"/>
    <m/>
    <s v="Old Age"/>
  </r>
  <r>
    <s v="ORD-02944"/>
    <d v="2023-06-30T00:00:00"/>
    <s v="CUST91370"/>
    <s v="Rahul Bhat"/>
    <n v="41"/>
    <x v="0"/>
    <x v="2"/>
    <s v="Amritsar"/>
    <x v="6"/>
    <x v="18"/>
    <n v="7"/>
    <n v="4046"/>
    <n v="0.11"/>
    <x v="649"/>
    <x v="649"/>
    <n v="42.33"/>
    <s v="Debit Card"/>
    <n v="2"/>
    <b v="0"/>
    <x v="1"/>
    <n v="6"/>
    <m/>
    <s v="Old Age"/>
  </r>
  <r>
    <s v="ORD-03085"/>
    <d v="2023-08-25T00:00:00"/>
    <s v="CUST66243"/>
    <s v="Karan Shah"/>
    <n v="31"/>
    <x v="0"/>
    <x v="2"/>
    <s v="Ludhiana"/>
    <x v="3"/>
    <x v="30"/>
    <n v="10"/>
    <n v="260.93"/>
    <n v="0.13"/>
    <x v="650"/>
    <x v="650"/>
    <n v="28.36"/>
    <s v="Cash on Delivery"/>
    <n v="3"/>
    <b v="0"/>
    <x v="1"/>
    <n v="1"/>
    <m/>
    <s v="Mid Age"/>
  </r>
  <r>
    <s v="ORD-03781"/>
    <d v="2024-07-03T00:00:00"/>
    <s v="CUST02825"/>
    <s v="Nikhil Joshi"/>
    <n v="31"/>
    <x v="1"/>
    <x v="4"/>
    <s v="Kochi"/>
    <x v="6"/>
    <x v="27"/>
    <n v="5"/>
    <n v="4630.1400000000003"/>
    <n v="0.28999999999999998"/>
    <x v="651"/>
    <x v="651"/>
    <n v="82.73"/>
    <s v="Debit Card"/>
    <s v="N/A"/>
    <b v="0"/>
    <x v="1"/>
    <n v="5"/>
    <m/>
    <s v="Mid Age"/>
  </r>
  <r>
    <s v="ORD-00116"/>
    <d v="2020-02-12T00:00:00"/>
    <s v="CUST51634"/>
    <s v="Sunita Bose"/>
    <n v="52"/>
    <x v="1"/>
    <x v="3"/>
    <s v="Patna"/>
    <x v="6"/>
    <x v="27"/>
    <n v="4"/>
    <n v="5949.42"/>
    <n v="0.34"/>
    <x v="652"/>
    <x v="652"/>
    <n v="82.54"/>
    <s v="EMI"/>
    <n v="5"/>
    <b v="0"/>
    <x v="1"/>
    <n v="4"/>
    <m/>
    <s v="Old Age"/>
  </r>
  <r>
    <s v="ORD-02593"/>
    <d v="2023-02-01T00:00:00"/>
    <s v="CUST54751"/>
    <s v="Vikram Sharma"/>
    <n v="40"/>
    <x v="1"/>
    <x v="0"/>
    <s v="Raipur"/>
    <x v="1"/>
    <x v="41"/>
    <n v="3"/>
    <n v="2052.63"/>
    <n v="0.2"/>
    <x v="653"/>
    <x v="653"/>
    <n v="38.92"/>
    <s v="Cash on Delivery"/>
    <n v="5"/>
    <b v="0"/>
    <x v="1"/>
    <n v="8"/>
    <m/>
    <s v="Mid Age"/>
  </r>
  <r>
    <s v="ORD-01196"/>
    <d v="2021-06-23T00:00:00"/>
    <s v="CUST09212"/>
    <s v="Ritu Mishra"/>
    <n v="40"/>
    <x v="0"/>
    <x v="3"/>
    <s v="Guwahati"/>
    <x v="5"/>
    <x v="17"/>
    <n v="1"/>
    <n v="40389.089999999997"/>
    <n v="0"/>
    <x v="654"/>
    <x v="654"/>
    <n v="91.67"/>
    <s v="Cash on Delivery"/>
    <n v="5"/>
    <b v="0"/>
    <x v="2"/>
    <n v="10"/>
    <m/>
    <s v="Mid Age"/>
  </r>
  <r>
    <s v="ORD-03379"/>
    <d v="2023-12-31T00:00:00"/>
    <s v="CUST97050"/>
    <s v="Nisha Iyer"/>
    <n v="47"/>
    <x v="2"/>
    <x v="4"/>
    <s v="Kochi"/>
    <x v="6"/>
    <x v="38"/>
    <n v="3"/>
    <n v="2123.23"/>
    <n v="0.11"/>
    <x v="655"/>
    <x v="655"/>
    <n v="78.63"/>
    <s v="Net Banking"/>
    <n v="1"/>
    <b v="0"/>
    <x v="1"/>
    <n v="10"/>
    <m/>
    <s v="Old Age"/>
  </r>
  <r>
    <s v="ORD-01829"/>
    <d v="2022-03-22T00:00:00"/>
    <s v="CUST59422"/>
    <s v="Vikram Das"/>
    <n v="44"/>
    <x v="0"/>
    <x v="0"/>
    <s v="Raipur"/>
    <x v="1"/>
    <x v="29"/>
    <n v="1"/>
    <n v="2044.93"/>
    <n v="0.23"/>
    <x v="656"/>
    <x v="656"/>
    <n v="44.76"/>
    <s v="UPI"/>
    <n v="2"/>
    <b v="1"/>
    <x v="0"/>
    <n v="2"/>
    <m/>
    <s v="Old Age"/>
  </r>
  <r>
    <s v="ORD-03844"/>
    <d v="2024-07-29T00:00:00"/>
    <s v="CUST42003"/>
    <s v="Kavya Shah"/>
    <n v="29"/>
    <x v="2"/>
    <x v="3"/>
    <s v="Kolkata"/>
    <x v="1"/>
    <x v="10"/>
    <n v="3"/>
    <n v="1864.31"/>
    <n v="0"/>
    <x v="657"/>
    <x v="657"/>
    <n v="66.81"/>
    <s v="Debit Card"/>
    <n v="2"/>
    <b v="0"/>
    <x v="3"/>
    <n v="5"/>
    <m/>
    <s v="Mid Age"/>
  </r>
  <r>
    <s v="ORD-00374"/>
    <d v="2020-06-08T00:00:00"/>
    <s v="CUST62120"/>
    <s v="Pooja Pillai"/>
    <n v="21"/>
    <x v="1"/>
    <x v="3"/>
    <s v="Guwahati"/>
    <x v="4"/>
    <x v="16"/>
    <n v="9"/>
    <n v="3409.51"/>
    <n v="0.33"/>
    <x v="658"/>
    <x v="658"/>
    <n v="97.18"/>
    <s v="UPI"/>
    <s v="N/A"/>
    <b v="0"/>
    <x v="3"/>
    <n v="3"/>
    <m/>
    <s v="Young Age"/>
  </r>
  <r>
    <s v="ORD-03261"/>
    <d v="2023-11-09T00:00:00"/>
    <s v="CUST80345"/>
    <s v="Pooja Verma"/>
    <n v="32"/>
    <x v="1"/>
    <x v="4"/>
    <s v="Kochi"/>
    <x v="5"/>
    <x v="21"/>
    <n v="4"/>
    <n v="71997.600000000006"/>
    <n v="0.08"/>
    <x v="659"/>
    <x v="659"/>
    <n v="76.900000000000006"/>
    <s v="Cash on Delivery"/>
    <n v="2"/>
    <b v="0"/>
    <x v="1"/>
    <n v="3"/>
    <m/>
    <s v="Mid Age"/>
  </r>
  <r>
    <s v="ORD-03347"/>
    <d v="2023-12-18T00:00:00"/>
    <s v="CUST96482"/>
    <s v="Pooja Chatterjee"/>
    <n v="36"/>
    <x v="0"/>
    <x v="3"/>
    <s v="Kolkata"/>
    <x v="5"/>
    <x v="17"/>
    <m/>
    <n v="21214.09"/>
    <n v="0.05"/>
    <x v="660"/>
    <x v="660"/>
    <n v="99.77"/>
    <s v="Debit Card"/>
    <n v="2"/>
    <b v="0"/>
    <x v="3"/>
    <n v="2"/>
    <m/>
    <s v="Mid Age"/>
  </r>
  <r>
    <s v="ORD-02239"/>
    <d v="2022-09-03T00:00:00"/>
    <s v="CUST33232"/>
    <s v="Ritu Kumar"/>
    <n v="57"/>
    <x v="0"/>
    <x v="1"/>
    <s v="Pune"/>
    <x v="4"/>
    <x v="12"/>
    <n v="3"/>
    <n v="3199.67"/>
    <n v="0.02"/>
    <x v="661"/>
    <x v="661"/>
    <n v="67.55"/>
    <s v="UPI"/>
    <n v="5"/>
    <b v="0"/>
    <x v="1"/>
    <n v="9"/>
    <m/>
    <s v="Old Age"/>
  </r>
  <r>
    <s v="ORD-00922"/>
    <d v="2021-02-22T00:00:00"/>
    <s v="CUST58356"/>
    <s v="Ananya Sharma"/>
    <n v="38"/>
    <x v="0"/>
    <x v="1"/>
    <s v="Ahmedabad"/>
    <x v="3"/>
    <x v="32"/>
    <n v="4"/>
    <n v="386.28"/>
    <n v="0.3"/>
    <x v="662"/>
    <x v="662"/>
    <n v="50.89"/>
    <s v="EMI"/>
    <n v="5"/>
    <b v="0"/>
    <x v="1"/>
    <n v="5"/>
    <m/>
    <s v="Mid Age"/>
  </r>
  <r>
    <s v="ORD-00807"/>
    <d v="2021-01-04T00:00:00"/>
    <s v="CUST38805"/>
    <s v="Nikhil Joshi"/>
    <n v="26"/>
    <x v="2"/>
    <x v="1"/>
    <s v="Pune"/>
    <x v="2"/>
    <x v="28"/>
    <n v="2"/>
    <n v="7006.2"/>
    <n v="0.24"/>
    <x v="663"/>
    <x v="663"/>
    <n v="67.349999999999994"/>
    <s v="UPI"/>
    <n v="2"/>
    <b v="0"/>
    <x v="1"/>
    <n v="7"/>
    <m/>
    <s v="Mid Age"/>
  </r>
  <r>
    <s v="ORD-00434"/>
    <d v="2020-07-09T00:00:00"/>
    <s v="CUST66878"/>
    <s v="Shreya Rao"/>
    <n v="28"/>
    <x v="0"/>
    <x v="3"/>
    <s v="Kolkata"/>
    <x v="3"/>
    <x v="5"/>
    <n v="2"/>
    <n v="472.49"/>
    <n v="0.2"/>
    <x v="664"/>
    <x v="664"/>
    <n v="89.97"/>
    <s v="Credit Card"/>
    <n v="2"/>
    <b v="0"/>
    <x v="1"/>
    <n v="1"/>
    <m/>
    <s v="Mid Age"/>
  </r>
  <r>
    <s v="ORD-03887"/>
    <d v="2024-08-10T00:00:00"/>
    <s v="CUST50038"/>
    <s v="Kavya Reddy"/>
    <n v="32"/>
    <x v="1"/>
    <x v="3"/>
    <s v="Patna"/>
    <x v="1"/>
    <x v="29"/>
    <n v="6"/>
    <n v="1237.08"/>
    <n v="0.08"/>
    <x v="665"/>
    <x v="665"/>
    <n v="78.37"/>
    <s v="EMI"/>
    <n v="3"/>
    <b v="0"/>
    <x v="1"/>
    <n v="10"/>
    <m/>
    <s v="Mid Age"/>
  </r>
  <r>
    <s v="ORD-03107"/>
    <d v="2023-09-04T00:00:00"/>
    <s v="CUST95163"/>
    <s v="Priya Pillai"/>
    <n v="28"/>
    <x v="1"/>
    <x v="1"/>
    <s v="Mumbai"/>
    <x v="2"/>
    <x v="13"/>
    <m/>
    <n v="18140.259999999998"/>
    <n v="0.03"/>
    <x v="666"/>
    <x v="666"/>
    <n v="61.79"/>
    <s v="UPI"/>
    <n v="4"/>
    <b v="0"/>
    <x v="4"/>
    <n v="10"/>
    <m/>
    <s v="Mid Age"/>
  </r>
  <r>
    <s v="ORD-03010"/>
    <d v="2023-07-27T00:00:00"/>
    <s v="CUST41279"/>
    <s v="Amit Sharma"/>
    <n v="43"/>
    <x v="0"/>
    <x v="4"/>
    <s v="Bangalore"/>
    <x v="5"/>
    <x v="33"/>
    <n v="4"/>
    <n v="14557.67"/>
    <n v="0.17"/>
    <x v="667"/>
    <x v="667"/>
    <n v="67.92"/>
    <s v="Debit Card"/>
    <n v="2"/>
    <b v="0"/>
    <x v="4"/>
    <n v="5"/>
    <m/>
    <s v="Old Age"/>
  </r>
  <r>
    <s v="ORD-01239"/>
    <d v="2021-07-13T00:00:00"/>
    <s v="CUST27651"/>
    <s v="Amit Chatterjee"/>
    <n v="36"/>
    <x v="2"/>
    <x v="1"/>
    <s v="Pune"/>
    <x v="0"/>
    <x v="34"/>
    <n v="4"/>
    <n v="88.17"/>
    <n v="0.18"/>
    <x v="668"/>
    <x v="668"/>
    <n v="74.3"/>
    <s v="Cash on Delivery"/>
    <n v="1"/>
    <b v="1"/>
    <x v="0"/>
    <n v="7"/>
    <m/>
    <s v="Mid Age"/>
  </r>
  <r>
    <s v="ORD-01115"/>
    <d v="2021-05-17T00:00:00"/>
    <s v="CUST88128"/>
    <s v="Nikhil Patel"/>
    <n v="40"/>
    <x v="0"/>
    <x v="2"/>
    <s v="Ludhiana"/>
    <x v="6"/>
    <x v="31"/>
    <n v="4"/>
    <n v="8417.94"/>
    <n v="0.17"/>
    <x v="669"/>
    <x v="669"/>
    <n v="44.41"/>
    <s v="Cash on Delivery"/>
    <s v="N/A"/>
    <b v="1"/>
    <x v="0"/>
    <n v="3"/>
    <m/>
    <s v="Mid Age"/>
  </r>
  <r>
    <s v="ORD-00015"/>
    <d v="2020-01-05T00:00:00"/>
    <s v="CUST32301"/>
    <s v="Arjun Bhat"/>
    <n v="41"/>
    <x v="1"/>
    <x v="4"/>
    <s v="Kochi"/>
    <x v="0"/>
    <x v="35"/>
    <n v="6"/>
    <n v="375.14"/>
    <n v="0.19"/>
    <x v="670"/>
    <x v="670"/>
    <n v="54.85"/>
    <s v="Debit Card"/>
    <n v="1"/>
    <b v="0"/>
    <x v="1"/>
    <n v="9"/>
    <m/>
    <s v="Old Age"/>
  </r>
  <r>
    <s v="ORD-03772"/>
    <d v="2024-06-30T00:00:00"/>
    <s v="CUST20093"/>
    <s v="Arjun Pillai"/>
    <n v="38"/>
    <x v="2"/>
    <x v="3"/>
    <s v="Kolkata"/>
    <x v="4"/>
    <x v="26"/>
    <n v="1"/>
    <n v="940.26"/>
    <n v="0.15"/>
    <x v="671"/>
    <x v="671"/>
    <n v="74.319999999999993"/>
    <s v="Debit Card"/>
    <n v="5"/>
    <b v="0"/>
    <x v="1"/>
    <n v="4"/>
    <m/>
    <s v="Mid Age"/>
  </r>
  <r>
    <s v="ORD-03934"/>
    <d v="2024-08-25T00:00:00"/>
    <s v="CUST52420"/>
    <s v="Pooja Patel"/>
    <n v="37"/>
    <x v="1"/>
    <x v="0"/>
    <s v="Nagpur"/>
    <x v="3"/>
    <x v="32"/>
    <n v="4"/>
    <n v="504.03"/>
    <n v="0.09"/>
    <x v="672"/>
    <x v="672"/>
    <n v="58.2"/>
    <s v="EMI"/>
    <n v="5"/>
    <b v="0"/>
    <x v="1"/>
    <n v="1"/>
    <m/>
    <s v="Mid Age"/>
  </r>
  <r>
    <s v="ORD-03468"/>
    <d v="2024-02-13T00:00:00"/>
    <s v="CUST47776"/>
    <s v="Arjun Das"/>
    <n v="38"/>
    <x v="2"/>
    <x v="4"/>
    <s v="Kochi"/>
    <x v="0"/>
    <x v="4"/>
    <n v="9"/>
    <n v="121.9"/>
    <n v="0.27"/>
    <x v="673"/>
    <x v="673"/>
    <n v="66.37"/>
    <s v="Debit Card"/>
    <n v="5"/>
    <b v="0"/>
    <x v="1"/>
    <n v="9"/>
    <m/>
    <s v="Mid Age"/>
  </r>
  <r>
    <s v="ORD-00677"/>
    <d v="2020-11-02T00:00:00"/>
    <s v="CUST61386"/>
    <s v="Karan Verma"/>
    <n v="40"/>
    <x v="1"/>
    <x v="2"/>
    <s v="Amritsar"/>
    <x v="5"/>
    <x v="17"/>
    <n v="10"/>
    <n v="28972.39"/>
    <n v="0.33"/>
    <x v="674"/>
    <x v="674"/>
    <n v="50.2"/>
    <s v="EMI"/>
    <n v="3"/>
    <b v="0"/>
    <x v="1"/>
    <n v="8"/>
    <m/>
    <s v="Mid Age"/>
  </r>
  <r>
    <s v="ORD-00503"/>
    <d v="2020-08-11T00:00:00"/>
    <s v="CUST41086"/>
    <s v="Ananya Kumar"/>
    <n v="38"/>
    <x v="1"/>
    <x v="4"/>
    <s v="Hyderabad"/>
    <x v="6"/>
    <x v="20"/>
    <n v="10"/>
    <n v="12293.17"/>
    <n v="0.28000000000000003"/>
    <x v="675"/>
    <x v="675"/>
    <n v="56.34"/>
    <s v="EMI"/>
    <n v="4"/>
    <b v="0"/>
    <x v="1"/>
    <n v="6"/>
    <m/>
    <s v="Mid Age"/>
  </r>
  <r>
    <s v="ORD-02456"/>
    <d v="2022-11-30T00:00:00"/>
    <s v="CUST02238"/>
    <s v="Shreya Kapoor"/>
    <n v="21"/>
    <x v="1"/>
    <x v="0"/>
    <s v="Nagpur"/>
    <x v="5"/>
    <x v="39"/>
    <n v="10"/>
    <n v="46339.99"/>
    <n v="0.36"/>
    <x v="676"/>
    <x v="676"/>
    <n v="81.540000000000006"/>
    <s v="Cash on Delivery"/>
    <s v="N/A"/>
    <b v="0"/>
    <x v="1"/>
    <n v="9"/>
    <m/>
    <s v="Young Age"/>
  </r>
  <r>
    <s v="ORD-00263"/>
    <d v="2020-04-25T00:00:00"/>
    <s v="CUST31785"/>
    <s v="Karan Rao"/>
    <n v="18"/>
    <x v="2"/>
    <x v="0"/>
    <s v="Bhopal"/>
    <x v="5"/>
    <x v="21"/>
    <m/>
    <n v="77507.61"/>
    <n v="0.11"/>
    <x v="677"/>
    <x v="677"/>
    <n v="60.01"/>
    <s v="Debit Card"/>
    <n v="1"/>
    <b v="0"/>
    <x v="1"/>
    <n v="5"/>
    <m/>
    <s v="Young Age"/>
  </r>
  <r>
    <s v="ORD-01657"/>
    <d v="2022-01-08T00:00:00"/>
    <s v="CUST72051"/>
    <s v="Sunita Bhat"/>
    <n v="32"/>
    <x v="1"/>
    <x v="1"/>
    <s v="Mumbai"/>
    <x v="1"/>
    <x v="1"/>
    <n v="2"/>
    <n v="332.8"/>
    <n v="0.24"/>
    <x v="678"/>
    <x v="678"/>
    <n v="47.12"/>
    <s v="Net Banking"/>
    <n v="1"/>
    <b v="0"/>
    <x v="1"/>
    <n v="2"/>
    <m/>
    <s v="Mid Age"/>
  </r>
  <r>
    <s v="ORD-03364"/>
    <d v="2023-12-28T00:00:00"/>
    <s v="CUST81812"/>
    <s v="Pooja Chatterjee"/>
    <n v="20"/>
    <x v="2"/>
    <x v="2"/>
    <s v="Chandigarh"/>
    <x v="4"/>
    <x v="12"/>
    <n v="3"/>
    <n v="2696.4"/>
    <n v="0.19"/>
    <x v="679"/>
    <x v="679"/>
    <n v="57.33"/>
    <s v="Credit Card"/>
    <n v="5"/>
    <b v="0"/>
    <x v="1"/>
    <n v="10"/>
    <m/>
    <s v="Young Age"/>
  </r>
  <r>
    <s v="ORD-03526"/>
    <d v="2024-03-11T00:00:00"/>
    <s v="CUST01333"/>
    <s v="Meera Kumar"/>
    <n v="14"/>
    <x v="2"/>
    <x v="4"/>
    <s v="Hyderabad"/>
    <x v="6"/>
    <x v="20"/>
    <n v="8"/>
    <n v="14238.38"/>
    <n v="0.39"/>
    <x v="680"/>
    <x v="680"/>
    <n v="73.75"/>
    <s v="UPI"/>
    <s v="N/A"/>
    <b v="1"/>
    <x v="0"/>
    <n v="3"/>
    <m/>
    <s v="Young Age"/>
  </r>
  <r>
    <s v="ORD-03758"/>
    <d v="2024-06-24T00:00:00"/>
    <s v="CUST81275"/>
    <s v="Pooja Pillai"/>
    <n v="20"/>
    <x v="2"/>
    <x v="1"/>
    <s v="Surat"/>
    <x v="5"/>
    <x v="17"/>
    <n v="4"/>
    <n v="59208.95"/>
    <n v="0.03"/>
    <x v="681"/>
    <x v="681"/>
    <n v="86.75"/>
    <s v="Net Banking"/>
    <s v="N/A"/>
    <b v="0"/>
    <x v="1"/>
    <n v="8"/>
    <m/>
    <s v="Young Age"/>
  </r>
  <r>
    <s v="ORD-01705"/>
    <d v="2022-01-30T00:00:00"/>
    <s v="CUST77601"/>
    <s v="Rohan Mishra"/>
    <n v="54"/>
    <x v="0"/>
    <x v="1"/>
    <s v="Mumbai"/>
    <x v="2"/>
    <x v="8"/>
    <n v="5"/>
    <n v="15638.22"/>
    <n v="0.12"/>
    <x v="682"/>
    <x v="682"/>
    <n v="71.64"/>
    <s v="Credit Card"/>
    <n v="1"/>
    <b v="0"/>
    <x v="1"/>
    <n v="4"/>
    <m/>
    <s v="Old Age"/>
  </r>
  <r>
    <s v="ORD-00050"/>
    <d v="2020-01-19T00:00:00"/>
    <s v="CUST20234"/>
    <s v="Rahul Patel"/>
    <n v="30"/>
    <x v="0"/>
    <x v="4"/>
    <s v="Hyderabad"/>
    <x v="4"/>
    <x v="16"/>
    <n v="9"/>
    <n v="1560.64"/>
    <n v="0.03"/>
    <x v="683"/>
    <x v="683"/>
    <n v="71.03"/>
    <s v="Cash on Delivery"/>
    <n v="5"/>
    <b v="0"/>
    <x v="1"/>
    <n v="4"/>
    <m/>
    <s v="Mid Age"/>
  </r>
  <r>
    <s v="ORD-03151"/>
    <d v="2023-09-27T00:00:00"/>
    <s v="CUST28094"/>
    <s v="Meera Shah"/>
    <n v="39"/>
    <x v="1"/>
    <x v="3"/>
    <s v="Patna"/>
    <x v="6"/>
    <x v="18"/>
    <n v="5"/>
    <n v="3167.34"/>
    <n v="0.17"/>
    <x v="684"/>
    <x v="684"/>
    <n v="66.83"/>
    <s v="UPI"/>
    <n v="4"/>
    <b v="0"/>
    <x v="1"/>
    <n v="10"/>
    <m/>
    <s v="Mid Age"/>
  </r>
  <r>
    <s v="ORD-03880"/>
    <d v="2024-08-09T00:00:00"/>
    <s v="CUST49372"/>
    <s v="Rahul Rao"/>
    <s v="N/A"/>
    <x v="1"/>
    <x v="3"/>
    <s v="Bhubaneswar"/>
    <x v="1"/>
    <x v="37"/>
    <n v="10"/>
    <n v="323.83999999999997"/>
    <n v="0.18"/>
    <x v="685"/>
    <x v="685"/>
    <n v="79.930000000000007"/>
    <s v="Credit Card"/>
    <n v="5"/>
    <b v="0"/>
    <x v="1"/>
    <n v="7"/>
    <m/>
    <s v="Old Age"/>
  </r>
  <r>
    <s v="ORD-01784"/>
    <d v="2022-03-02T00:00:00"/>
    <s v="CUST21830"/>
    <s v="Shreya Joshi"/>
    <n v="17"/>
    <x v="0"/>
    <x v="4"/>
    <s v="Bangalore"/>
    <x v="6"/>
    <x v="27"/>
    <n v="5"/>
    <n v="5150.6400000000003"/>
    <n v="0.37"/>
    <x v="686"/>
    <x v="686"/>
    <n v="75.38"/>
    <s v="UPI"/>
    <n v="4"/>
    <b v="0"/>
    <x v="2"/>
    <n v="3"/>
    <m/>
    <s v="Young Age"/>
  </r>
  <r>
    <s v="ORD-01483"/>
    <d v="2021-10-27T00:00:00"/>
    <s v="CUST97519"/>
    <s v="Amit Singh"/>
    <n v="15"/>
    <x v="0"/>
    <x v="0"/>
    <s v="Bhopal"/>
    <x v="2"/>
    <x v="8"/>
    <n v="8"/>
    <n v="31666.799999999999"/>
    <n v="0.27"/>
    <x v="687"/>
    <x v="687"/>
    <n v="70.27"/>
    <s v="Net Banking"/>
    <n v="3"/>
    <b v="0"/>
    <x v="1"/>
    <n v="5"/>
    <m/>
    <s v="Young Age"/>
  </r>
  <r>
    <s v="ORD-01746"/>
    <d v="2022-02-14T00:00:00"/>
    <s v="CUST09453"/>
    <s v="Arjun Gupta"/>
    <n v="30"/>
    <x v="1"/>
    <x v="2"/>
    <s v="Delhi"/>
    <x v="4"/>
    <x v="26"/>
    <n v="4"/>
    <n v="3616.81"/>
    <n v="0.01"/>
    <x v="688"/>
    <x v="688"/>
    <n v="40.58"/>
    <s v="Debit Card"/>
    <n v="4"/>
    <b v="0"/>
    <x v="4"/>
    <n v="2"/>
    <m/>
    <s v="Mid Age"/>
  </r>
  <r>
    <s v="ORD-02669"/>
    <d v="2023-02-28T00:00:00"/>
    <s v="CUST70473"/>
    <s v="Nisha Gupta"/>
    <s v="N/A"/>
    <x v="1"/>
    <x v="0"/>
    <s v="Nagpur"/>
    <x v="5"/>
    <x v="15"/>
    <n v="8"/>
    <n v="28881.53"/>
    <n v="0.38"/>
    <x v="689"/>
    <x v="689"/>
    <n v="36.68"/>
    <s v="Credit Card"/>
    <s v="N/A"/>
    <b v="0"/>
    <x v="4"/>
    <n v="6"/>
    <m/>
    <s v="Old Age"/>
  </r>
  <r>
    <s v="ORD-01671"/>
    <d v="2022-01-17T00:00:00"/>
    <s v="CUST45922"/>
    <s v="Sunita Chatterjee"/>
    <n v="44"/>
    <x v="0"/>
    <x v="0"/>
    <s v="Bhopal"/>
    <x v="1"/>
    <x v="10"/>
    <n v="9"/>
    <n v="1064.67"/>
    <n v="0.33"/>
    <x v="690"/>
    <x v="690"/>
    <n v="74.790000000000006"/>
    <s v="Cash on Delivery"/>
    <n v="4"/>
    <b v="1"/>
    <x v="0"/>
    <n v="10"/>
    <m/>
    <s v="Old Age"/>
  </r>
  <r>
    <s v="ORD-00944"/>
    <d v="2021-03-02T00:00:00"/>
    <s v="CUST74789"/>
    <s v="Ritu Bose"/>
    <n v="32"/>
    <x v="1"/>
    <x v="2"/>
    <s v="Delhi"/>
    <x v="0"/>
    <x v="0"/>
    <n v="9"/>
    <n v="172.48"/>
    <n v="0.16"/>
    <x v="691"/>
    <x v="691"/>
    <n v="48.27"/>
    <s v="Debit Card"/>
    <n v="2"/>
    <b v="0"/>
    <x v="1"/>
    <n v="6"/>
    <m/>
    <s v="Mid Age"/>
  </r>
  <r>
    <s v="ORD-02251"/>
    <d v="2022-09-08T00:00:00"/>
    <s v="CUST41014"/>
    <s v="Deepa Bhat"/>
    <n v="26"/>
    <x v="0"/>
    <x v="1"/>
    <s v="Surat"/>
    <x v="2"/>
    <x v="3"/>
    <n v="2"/>
    <n v="21391.95"/>
    <n v="0.09"/>
    <x v="692"/>
    <x v="692"/>
    <n v="88.4"/>
    <s v="Debit Card"/>
    <n v="2"/>
    <b v="1"/>
    <x v="0"/>
    <n v="3"/>
    <m/>
    <s v="Mid Age"/>
  </r>
  <r>
    <s v="ORD-00466"/>
    <d v="2020-07-24T00:00:00"/>
    <s v="CUST73065"/>
    <s v="Priya Das"/>
    <n v="35"/>
    <x v="2"/>
    <x v="0"/>
    <s v="Nagpur"/>
    <x v="4"/>
    <x v="12"/>
    <n v="1"/>
    <n v="2855.2"/>
    <n v="0.19"/>
    <x v="693"/>
    <x v="693"/>
    <n v="65.12"/>
    <s v="Cash on Delivery"/>
    <n v="1"/>
    <b v="0"/>
    <x v="1"/>
    <n v="1"/>
    <m/>
    <s v="Mid Age"/>
  </r>
  <r>
    <s v="ORD-01518"/>
    <d v="2021-11-15T00:00:00"/>
    <s v="CUST66356"/>
    <s v="Rahul Sharma"/>
    <n v="45"/>
    <x v="1"/>
    <x v="1"/>
    <s v="Surat"/>
    <x v="4"/>
    <x v="16"/>
    <n v="2"/>
    <n v="1623.15"/>
    <n v="0.33"/>
    <x v="694"/>
    <x v="694"/>
    <n v="45.5"/>
    <s v="Credit Card"/>
    <n v="3"/>
    <b v="0"/>
    <x v="2"/>
    <n v="2"/>
    <m/>
    <s v="Old Age"/>
  </r>
  <r>
    <s v="ORD-01384"/>
    <d v="2021-09-17T00:00:00"/>
    <s v="CUST19005"/>
    <s v="Sanjay Bose"/>
    <n v="38"/>
    <x v="0"/>
    <x v="3"/>
    <s v="Bhubaneswar"/>
    <x v="4"/>
    <x v="12"/>
    <n v="1"/>
    <n v="581.13"/>
    <n v="0.01"/>
    <x v="695"/>
    <x v="695"/>
    <n v="85.55"/>
    <s v="Cash on Delivery"/>
    <n v="2"/>
    <b v="0"/>
    <x v="1"/>
    <n v="4"/>
    <m/>
    <s v="Mid Age"/>
  </r>
  <r>
    <s v="ORD-00383"/>
    <d v="2020-06-12T00:00:00"/>
    <s v="CUST78014"/>
    <s v="Vikram Joshi"/>
    <n v="39"/>
    <x v="1"/>
    <x v="0"/>
    <s v="Raipur"/>
    <x v="4"/>
    <x v="12"/>
    <n v="8"/>
    <n v="2755.32"/>
    <n v="0.2"/>
    <x v="696"/>
    <x v="696"/>
    <n v="48.26"/>
    <s v="UPI"/>
    <n v="1"/>
    <b v="0"/>
    <x v="1"/>
    <n v="4"/>
    <m/>
    <s v="Mid Age"/>
  </r>
  <r>
    <s v="ORD-01525"/>
    <d v="2021-11-17T00:00:00"/>
    <s v="CUST73027"/>
    <s v="Sanjay Kapoor"/>
    <n v="28"/>
    <x v="0"/>
    <x v="3"/>
    <s v="Guwahati"/>
    <x v="0"/>
    <x v="9"/>
    <n v="4"/>
    <n v="421.33"/>
    <n v="0.14000000000000001"/>
    <x v="697"/>
    <x v="697"/>
    <n v="82"/>
    <s v="Credit Card"/>
    <n v="1"/>
    <b v="0"/>
    <x v="1"/>
    <n v="10"/>
    <m/>
    <s v="Mid Age"/>
  </r>
  <r>
    <s v="ORD-02930"/>
    <d v="2023-06-21T00:00:00"/>
    <s v="CUST27302"/>
    <s v="Karan Verma"/>
    <n v="29"/>
    <x v="1"/>
    <x v="1"/>
    <s v="Ahmedabad"/>
    <x v="1"/>
    <x v="41"/>
    <n v="10"/>
    <n v="325.56"/>
    <n v="0.28999999999999998"/>
    <x v="698"/>
    <x v="698"/>
    <n v="46.14"/>
    <s v="Credit Card"/>
    <n v="1"/>
    <b v="0"/>
    <x v="3"/>
    <n v="3"/>
    <m/>
    <s v="Mid Age"/>
  </r>
  <r>
    <s v="ORD-01440"/>
    <d v="2021-10-11T00:00:00"/>
    <s v="CUST84528"/>
    <s v="Vikram Kapoor"/>
    <n v="36"/>
    <x v="0"/>
    <x v="2"/>
    <s v="Amritsar"/>
    <x v="3"/>
    <x v="32"/>
    <n v="10"/>
    <n v="1279.2"/>
    <n v="0.17"/>
    <x v="699"/>
    <x v="699"/>
    <n v="38.619999999999997"/>
    <s v="EMI"/>
    <n v="1"/>
    <b v="0"/>
    <x v="4"/>
    <n v="6"/>
    <m/>
    <s v="Mid Age"/>
  </r>
  <r>
    <s v="ORD-03307"/>
    <d v="2023-12-01T00:00:00"/>
    <s v="CUST74033"/>
    <s v="Vikram Mehta"/>
    <n v="46"/>
    <x v="1"/>
    <x v="2"/>
    <s v="Amritsar"/>
    <x v="1"/>
    <x v="41"/>
    <n v="1"/>
    <n v="2427.6999999999998"/>
    <n v="0.11"/>
    <x v="700"/>
    <x v="700"/>
    <n v="48.85"/>
    <s v="Credit Card"/>
    <n v="2"/>
    <b v="0"/>
    <x v="1"/>
    <n v="1"/>
    <m/>
    <s v="Old Age"/>
  </r>
  <r>
    <s v="ORD-01634"/>
    <d v="2021-12-29T00:00:00"/>
    <s v="CUST19177"/>
    <s v="Sanjay Mehta"/>
    <n v="55"/>
    <x v="0"/>
    <x v="2"/>
    <s v="Chandigarh"/>
    <x v="4"/>
    <x v="16"/>
    <n v="6"/>
    <n v="2259.04"/>
    <n v="0.36"/>
    <x v="701"/>
    <x v="701"/>
    <n v="41.85"/>
    <s v="Net Banking"/>
    <n v="2"/>
    <b v="0"/>
    <x v="1"/>
    <n v="6"/>
    <m/>
    <s v="Old Age"/>
  </r>
  <r>
    <s v="ORD-00772"/>
    <d v="2020-12-15T00:00:00"/>
    <s v="CUST40808"/>
    <s v="Shreya Singh"/>
    <n v="50"/>
    <x v="2"/>
    <x v="2"/>
    <s v="Chandigarh"/>
    <x v="2"/>
    <x v="2"/>
    <n v="1"/>
    <n v="21726.1"/>
    <n v="0.28000000000000003"/>
    <x v="702"/>
    <x v="702"/>
    <n v="57.05"/>
    <s v="Credit Card"/>
    <n v="4"/>
    <b v="0"/>
    <x v="3"/>
    <n v="7"/>
    <m/>
    <s v="Old Age"/>
  </r>
  <r>
    <s v="ORD-03958"/>
    <d v="2024-09-04T00:00:00"/>
    <s v="CUST05507"/>
    <s v="Kavya Das"/>
    <n v="41"/>
    <x v="0"/>
    <x v="0"/>
    <s v="Bhopal"/>
    <x v="6"/>
    <x v="18"/>
    <n v="9"/>
    <n v="796.29"/>
    <n v="0.21"/>
    <x v="703"/>
    <x v="703"/>
    <n v="52.86"/>
    <s v="UPI"/>
    <n v="2"/>
    <b v="0"/>
    <x v="1"/>
    <n v="2"/>
    <m/>
    <s v="Old Age"/>
  </r>
  <r>
    <s v="ORD-01896"/>
    <d v="2022-04-17T00:00:00"/>
    <s v="CUST56422"/>
    <s v="Kavya Shah"/>
    <n v="23"/>
    <x v="2"/>
    <x v="3"/>
    <s v="Kolkata"/>
    <x v="6"/>
    <x v="22"/>
    <n v="1"/>
    <n v="8106.93"/>
    <n v="0.27"/>
    <x v="704"/>
    <x v="704"/>
    <n v="82.98"/>
    <s v="Credit Card"/>
    <n v="3"/>
    <b v="0"/>
    <x v="1"/>
    <n v="4"/>
    <m/>
    <s v="Young Age"/>
  </r>
  <r>
    <s v="ORD-02041"/>
    <d v="2022-06-18T00:00:00"/>
    <s v="CUST04308"/>
    <s v="Sanjay Singh"/>
    <n v="29"/>
    <x v="1"/>
    <x v="3"/>
    <s v="Kolkata"/>
    <x v="5"/>
    <x v="33"/>
    <n v="8"/>
    <n v="15107.58"/>
    <n v="0.15"/>
    <x v="705"/>
    <x v="705"/>
    <n v="77.28"/>
    <s v="Cash on Delivery"/>
    <n v="4"/>
    <b v="0"/>
    <x v="1"/>
    <n v="10"/>
    <m/>
    <s v="Mid Age"/>
  </r>
  <r>
    <s v="ORD-00078"/>
    <d v="2020-01-29T00:00:00"/>
    <s v="CUST03970"/>
    <s v="Arjun Kumar"/>
    <n v="21"/>
    <x v="0"/>
    <x v="4"/>
    <s v="Bangalore"/>
    <x v="2"/>
    <x v="13"/>
    <n v="7"/>
    <n v="4470.7299999999996"/>
    <n v="0.09"/>
    <x v="706"/>
    <x v="706"/>
    <n v="45.52"/>
    <s v="Cash on Delivery"/>
    <n v="4"/>
    <b v="0"/>
    <x v="1"/>
    <n v="6"/>
    <m/>
    <s v="Young Age"/>
  </r>
  <r>
    <s v="ORD-00758"/>
    <d v="2020-12-10T00:00:00"/>
    <s v="CUST74570"/>
    <s v="Vikram Patel"/>
    <n v="37"/>
    <x v="0"/>
    <x v="0"/>
    <s v="Nagpur"/>
    <x v="3"/>
    <x v="32"/>
    <n v="6"/>
    <n v="593.85"/>
    <n v="0.02"/>
    <x v="707"/>
    <x v="707"/>
    <n v="30.08"/>
    <s v="Net Banking"/>
    <s v="N/A"/>
    <b v="0"/>
    <x v="1"/>
    <n v="1"/>
    <m/>
    <s v="Mid Age"/>
  </r>
  <r>
    <s v="ORD-00305"/>
    <d v="2020-05-12T00:00:00"/>
    <s v="CUST10300"/>
    <s v="Vikram Joshi"/>
    <n v="35"/>
    <x v="0"/>
    <x v="3"/>
    <s v="Bhubaneswar"/>
    <x v="6"/>
    <x v="38"/>
    <n v="5"/>
    <n v="6852.57"/>
    <n v="0.19"/>
    <x v="708"/>
    <x v="708"/>
    <n v="100.86"/>
    <s v="EMI"/>
    <n v="5"/>
    <b v="0"/>
    <x v="1"/>
    <n v="10"/>
    <m/>
    <s v="Mid Age"/>
  </r>
  <r>
    <s v="ORD-03198"/>
    <d v="2023-10-15T00:00:00"/>
    <s v="CUST60856"/>
    <s v="Shreya Bhat"/>
    <n v="50"/>
    <x v="2"/>
    <x v="4"/>
    <s v="Bangalore"/>
    <x v="4"/>
    <x v="14"/>
    <m/>
    <n v="2135.46"/>
    <n v="0.21"/>
    <x v="709"/>
    <x v="709"/>
    <n v="84"/>
    <s v="UPI"/>
    <n v="4"/>
    <b v="0"/>
    <x v="1"/>
    <n v="5"/>
    <m/>
    <s v="Old Age"/>
  </r>
  <r>
    <s v="ORD-01684"/>
    <d v="2022-01-21T00:00:00"/>
    <s v="CUST67104"/>
    <s v="Aarav Sharma"/>
    <n v="36"/>
    <x v="0"/>
    <x v="2"/>
    <s v="Delhi"/>
    <x v="6"/>
    <x v="22"/>
    <n v="1"/>
    <n v="14530.7"/>
    <n v="0.16"/>
    <x v="710"/>
    <x v="710"/>
    <n v="60.97"/>
    <s v="UPI"/>
    <n v="3"/>
    <b v="1"/>
    <x v="0"/>
    <n v="8"/>
    <m/>
    <s v="Mid Age"/>
  </r>
  <r>
    <s v="ORD-02637"/>
    <d v="2023-02-16T00:00:00"/>
    <s v="CUST01385"/>
    <s v="Nikhil Sharma"/>
    <n v="35"/>
    <x v="1"/>
    <x v="4"/>
    <s v="Bangalore"/>
    <x v="3"/>
    <x v="32"/>
    <n v="6"/>
    <n v="893.91"/>
    <n v="0.15"/>
    <x v="711"/>
    <x v="711"/>
    <n v="87.48"/>
    <s v="Debit Card"/>
    <n v="4"/>
    <b v="0"/>
    <x v="4"/>
    <n v="4"/>
    <m/>
    <s v="Mid Age"/>
  </r>
  <r>
    <s v="ORD-00013"/>
    <d v="2020-04-01T00:00:00"/>
    <s v="CUST86980"/>
    <s v="Rahul Sharma"/>
    <n v="31"/>
    <x v="1"/>
    <x v="3"/>
    <s v="Bhubaneswar"/>
    <x v="0"/>
    <x v="34"/>
    <n v="5"/>
    <n v="380.73"/>
    <n v="0.38"/>
    <x v="712"/>
    <x v="712"/>
    <n v="69.349999999999994"/>
    <s v="UPI"/>
    <n v="5"/>
    <b v="0"/>
    <x v="4"/>
    <n v="4"/>
    <m/>
    <s v="Mid Age"/>
  </r>
  <r>
    <s v="ORD-04159"/>
    <d v="2024-12-11T00:00:00"/>
    <s v="CUST56892"/>
    <s v="Karan Gupta"/>
    <n v="19"/>
    <x v="1"/>
    <x v="4"/>
    <s v="Bangalore"/>
    <x v="5"/>
    <x v="25"/>
    <n v="10"/>
    <n v="19562.84"/>
    <n v="0.24"/>
    <x v="713"/>
    <x v="713"/>
    <n v="80.650000000000006"/>
    <s v="EMI"/>
    <n v="5"/>
    <b v="0"/>
    <x v="4"/>
    <n v="10"/>
    <m/>
    <s v="Young Age"/>
  </r>
  <r>
    <s v="ORD-03080"/>
    <d v="2023-08-22T00:00:00"/>
    <s v="CUST34629"/>
    <s v="Aarav Singh"/>
    <n v="37"/>
    <x v="0"/>
    <x v="0"/>
    <s v="Nagpur"/>
    <x v="0"/>
    <x v="36"/>
    <n v="9"/>
    <n v="460.52"/>
    <n v="0.37"/>
    <x v="714"/>
    <x v="714"/>
    <n v="48.79"/>
    <s v="EMI"/>
    <n v="5"/>
    <b v="0"/>
    <x v="2"/>
    <n v="7"/>
    <m/>
    <s v="Mid Age"/>
  </r>
  <r>
    <s v="ORD-02720"/>
    <d v="2023-03-26T00:00:00"/>
    <s v="CUST36373"/>
    <s v="Aarav Kapoor"/>
    <n v="52"/>
    <x v="0"/>
    <x v="4"/>
    <s v="Kochi"/>
    <x v="0"/>
    <x v="4"/>
    <n v="7"/>
    <n v="448.17"/>
    <n v="0.11"/>
    <x v="715"/>
    <x v="715"/>
    <n v="34.25"/>
    <s v="EMI"/>
    <n v="5"/>
    <b v="0"/>
    <x v="1"/>
    <n v="2"/>
    <m/>
    <s v="Old Age"/>
  </r>
  <r>
    <s v="ORD-03318"/>
    <d v="2023-12-06T00:00:00"/>
    <s v="CUST94948"/>
    <s v="Rohan Kapoor"/>
    <n v="40"/>
    <x v="0"/>
    <x v="0"/>
    <s v="Indore"/>
    <x v="3"/>
    <x v="30"/>
    <n v="9"/>
    <n v="276.41000000000003"/>
    <n v="0.11"/>
    <x v="716"/>
    <x v="716"/>
    <n v="46.35"/>
    <s v="UPI"/>
    <n v="2"/>
    <b v="0"/>
    <x v="1"/>
    <s v="N/A"/>
    <m/>
    <s v="Mid Age"/>
  </r>
  <r>
    <s v="ORD-02315"/>
    <d v="2022-10-03T00:00:00"/>
    <s v="CUST44222"/>
    <s v="Nikhil Pillai"/>
    <n v="37"/>
    <x v="0"/>
    <x v="2"/>
    <s v="Ludhiana"/>
    <x v="0"/>
    <x v="34"/>
    <n v="4"/>
    <n v="385.4"/>
    <n v="0.06"/>
    <x v="717"/>
    <x v="717"/>
    <n v="49.02"/>
    <s v="Cash on Delivery"/>
    <n v="5"/>
    <b v="0"/>
    <x v="1"/>
    <n v="9"/>
    <m/>
    <s v="Mid Age"/>
  </r>
  <r>
    <s v="ORD-00568"/>
    <d v="2020-09-10T00:00:00"/>
    <s v="CUST35377"/>
    <s v="Amit Reddy"/>
    <n v="49"/>
    <x v="2"/>
    <x v="1"/>
    <s v="Ahmedabad"/>
    <x v="2"/>
    <x v="3"/>
    <n v="9"/>
    <n v="31653.11"/>
    <n v="0.37"/>
    <x v="718"/>
    <x v="718"/>
    <n v="74.88"/>
    <s v="Debit Card"/>
    <n v="3"/>
    <b v="0"/>
    <x v="1"/>
    <n v="2"/>
    <m/>
    <s v="Old Age"/>
  </r>
  <r>
    <s v="ORD-00896"/>
    <d v="2021-02-07T00:00:00"/>
    <s v="CUST89978"/>
    <s v="Ananya Gupta"/>
    <n v="45"/>
    <x v="2"/>
    <x v="3"/>
    <s v="Kolkata"/>
    <x v="5"/>
    <x v="39"/>
    <n v="3"/>
    <n v="72774.78"/>
    <n v="0.13"/>
    <x v="719"/>
    <x v="719"/>
    <n v="90.91"/>
    <s v="UPI"/>
    <n v="5"/>
    <b v="0"/>
    <x v="1"/>
    <n v="6"/>
    <m/>
    <s v="Old Age"/>
  </r>
  <r>
    <s v="ORD-00003"/>
    <d v="2020-01-01T00:00:00"/>
    <s v="CUST37770"/>
    <s v="Aditya Singh"/>
    <n v="11"/>
    <x v="2"/>
    <x v="1"/>
    <s v="Mumbai"/>
    <x v="1"/>
    <x v="29"/>
    <n v="9"/>
    <n v="245.9"/>
    <n v="0.24"/>
    <x v="720"/>
    <x v="720"/>
    <n v="45.22"/>
    <s v="Net Banking"/>
    <n v="1"/>
    <b v="1"/>
    <x v="0"/>
    <s v="N/A"/>
    <m/>
    <s v="Young Age"/>
  </r>
  <r>
    <s v="ORD-02261"/>
    <d v="2022-09-11T00:00:00"/>
    <s v="CUST28968"/>
    <s v="Ananya Mehta"/>
    <n v="25"/>
    <x v="1"/>
    <x v="1"/>
    <s v="Ahmedabad"/>
    <x v="5"/>
    <x v="25"/>
    <n v="5"/>
    <n v="48089.2"/>
    <n v="0.19"/>
    <x v="721"/>
    <x v="721"/>
    <n v="96.45"/>
    <s v="Debit Card"/>
    <n v="4"/>
    <b v="0"/>
    <x v="1"/>
    <n v="9"/>
    <m/>
    <s v="Young Age"/>
  </r>
  <r>
    <s v="ORD-04151"/>
    <d v="2024-12-07T00:00:00"/>
    <s v="CUST43686"/>
    <s v="Nikhil Singh"/>
    <n v="23"/>
    <x v="0"/>
    <x v="2"/>
    <s v="Delhi"/>
    <x v="0"/>
    <x v="34"/>
    <n v="4"/>
    <n v="471.4"/>
    <n v="0.3"/>
    <x v="722"/>
    <x v="722"/>
    <n v="52.55"/>
    <s v="EMI"/>
    <n v="4"/>
    <b v="0"/>
    <x v="1"/>
    <n v="9"/>
    <m/>
    <s v="Young Age"/>
  </r>
  <r>
    <s v="ORD-01430"/>
    <d v="2021-07-10T00:00:00"/>
    <s v="CUST37845"/>
    <s v="Nisha Sharma"/>
    <n v="25"/>
    <x v="0"/>
    <x v="3"/>
    <s v="Patna"/>
    <x v="3"/>
    <x v="30"/>
    <n v="2"/>
    <n v="986.99"/>
    <n v="0.37"/>
    <x v="723"/>
    <x v="723"/>
    <n v="79.62"/>
    <s v="Debit Card"/>
    <n v="2"/>
    <b v="1"/>
    <x v="0"/>
    <n v="4"/>
    <m/>
    <s v="Young Age"/>
  </r>
  <r>
    <s v="ORD-02923"/>
    <d v="2023-06-18T00:00:00"/>
    <s v="CUST62956"/>
    <s v="Pooja Mishra"/>
    <n v="15"/>
    <x v="1"/>
    <x v="2"/>
    <s v="Ludhiana"/>
    <x v="3"/>
    <x v="11"/>
    <n v="9"/>
    <n v="916.14"/>
    <n v="0.36"/>
    <x v="384"/>
    <x v="384"/>
    <n v="63.91"/>
    <s v="Cash on Delivery"/>
    <n v="4"/>
    <b v="0"/>
    <x v="3"/>
    <n v="7"/>
    <m/>
    <s v="Young Age"/>
  </r>
  <r>
    <s v="ORD-02884"/>
    <d v="2023-06-03T00:00:00"/>
    <s v="CUST30359"/>
    <s v="Nisha Patel"/>
    <n v="33"/>
    <x v="2"/>
    <x v="1"/>
    <s v="Pune"/>
    <x v="3"/>
    <x v="32"/>
    <n v="1"/>
    <n v="1090.31"/>
    <n v="0.26"/>
    <x v="724"/>
    <x v="724"/>
    <n v="61.28"/>
    <s v="Net Banking"/>
    <n v="3"/>
    <b v="0"/>
    <x v="1"/>
    <n v="9"/>
    <m/>
    <s v="Mid Age"/>
  </r>
  <r>
    <s v="ORD-00529"/>
    <s v="22/08/2020"/>
    <s v="CUST06871"/>
    <s v="Arjun Sharma"/>
    <n v="27"/>
    <x v="2"/>
    <x v="4"/>
    <s v="Chennai"/>
    <x v="6"/>
    <x v="20"/>
    <n v="7"/>
    <n v="9110.75"/>
    <n v="0.25"/>
    <x v="725"/>
    <x v="725"/>
    <n v="90.53"/>
    <s v="Credit Card"/>
    <n v="2"/>
    <b v="0"/>
    <x v="1"/>
    <n v="7"/>
    <m/>
    <s v="Mid Age"/>
  </r>
  <r>
    <s v="ORD-01422"/>
    <d v="2021-10-02T00:00:00"/>
    <s v="CUST97273"/>
    <s v="Aarav Gupta"/>
    <n v="37"/>
    <x v="0"/>
    <x v="2"/>
    <s v="Amritsar"/>
    <x v="6"/>
    <x v="22"/>
    <n v="10"/>
    <n v="12010.26"/>
    <n v="0.36"/>
    <x v="726"/>
    <x v="726"/>
    <n v="77.19"/>
    <s v="UPI"/>
    <n v="1"/>
    <b v="0"/>
    <x v="1"/>
    <n v="10"/>
    <m/>
    <s v="Mid Age"/>
  </r>
  <r>
    <s v="ORD-00894"/>
    <d v="2021-02-05T00:00:00"/>
    <s v="CUST78346"/>
    <s v="Aarav Gupta"/>
    <n v="47"/>
    <x v="1"/>
    <x v="3"/>
    <s v="Patna"/>
    <x v="3"/>
    <x v="5"/>
    <n v="10"/>
    <n v="1043.44"/>
    <n v="0.34"/>
    <x v="727"/>
    <x v="727"/>
    <n v="79.989999999999995"/>
    <s v="Debit Card"/>
    <n v="2"/>
    <b v="0"/>
    <x v="1"/>
    <n v="6"/>
    <m/>
    <s v="Old Age"/>
  </r>
  <r>
    <s v="ORD-01172"/>
    <d v="2021-06-09T00:00:00"/>
    <s v="CUST46531"/>
    <s v="Karan Das"/>
    <n v="33"/>
    <x v="2"/>
    <x v="4"/>
    <s v="Kochi"/>
    <x v="2"/>
    <x v="24"/>
    <n v="3"/>
    <n v="33795.769999999997"/>
    <n v="0.35"/>
    <x v="728"/>
    <x v="728"/>
    <n v="71.569999999999993"/>
    <s v="UPI"/>
    <n v="5"/>
    <b v="0"/>
    <x v="1"/>
    <n v="9"/>
    <m/>
    <s v="Mid Age"/>
  </r>
  <r>
    <s v="ORD-03633"/>
    <d v="2024-04-28T00:00:00"/>
    <s v="CUST94304"/>
    <s v="Amit Reddy"/>
    <n v="35"/>
    <x v="0"/>
    <x v="0"/>
    <s v="Raipur"/>
    <x v="3"/>
    <x v="5"/>
    <n v="9"/>
    <n v="499.65"/>
    <n v="0.02"/>
    <x v="729"/>
    <x v="729"/>
    <n v="39.04"/>
    <s v="Credit Card"/>
    <n v="2"/>
    <b v="0"/>
    <x v="1"/>
    <n v="2"/>
    <m/>
    <s v="Mid Age"/>
  </r>
  <r>
    <s v="ORD-00144"/>
    <d v="2020-02-27T00:00:00"/>
    <s v="CUST57714"/>
    <s v="Shreya Kumar"/>
    <n v="37"/>
    <x v="2"/>
    <x v="4"/>
    <s v="Chennai"/>
    <x v="2"/>
    <x v="13"/>
    <n v="5"/>
    <n v="32167.65"/>
    <n v="0"/>
    <x v="730"/>
    <x v="730"/>
    <n v="58.32"/>
    <s v="Cash on Delivery"/>
    <n v="5"/>
    <b v="0"/>
    <x v="1"/>
    <n v="6"/>
    <m/>
    <s v="Mid Age"/>
  </r>
  <r>
    <s v="ORD-02970"/>
    <d v="2023-07-09T00:00:00"/>
    <s v="CUST03472"/>
    <s v="Meera Patel"/>
    <n v="35"/>
    <x v="2"/>
    <x v="4"/>
    <s v="Bangalore"/>
    <x v="3"/>
    <x v="5"/>
    <n v="7"/>
    <n v="900.55"/>
    <n v="0.37"/>
    <x v="731"/>
    <x v="731"/>
    <n v="67.3"/>
    <s v="Net Banking"/>
    <n v="5"/>
    <b v="0"/>
    <x v="1"/>
    <n v="3"/>
    <m/>
    <s v="Mid Age"/>
  </r>
  <r>
    <s v="ORD-01114"/>
    <d v="2021-05-17T00:00:00"/>
    <s v="CUST93051"/>
    <s v="Meera Bhat"/>
    <n v="34"/>
    <x v="2"/>
    <x v="2"/>
    <s v="Delhi"/>
    <x v="5"/>
    <x v="25"/>
    <n v="7"/>
    <n v="46170.239999999998"/>
    <n v="0.37"/>
    <x v="732"/>
    <x v="732"/>
    <n v="40.35"/>
    <s v="Net Banking"/>
    <n v="5"/>
    <b v="0"/>
    <x v="1"/>
    <n v="2"/>
    <m/>
    <s v="Mid Age"/>
  </r>
  <r>
    <s v="ORD-01505"/>
    <d v="2021-11-06T00:00:00"/>
    <s v="CUST41623"/>
    <s v="Vikram Pillai"/>
    <n v="65"/>
    <x v="0"/>
    <x v="2"/>
    <s v="Chandigarh"/>
    <x v="3"/>
    <x v="19"/>
    <n v="4"/>
    <n v="1350.95"/>
    <n v="0.21"/>
    <x v="34"/>
    <x v="34"/>
    <n v="44.83"/>
    <s v="Credit Card"/>
    <n v="3"/>
    <b v="0"/>
    <x v="1"/>
    <n v="2"/>
    <m/>
    <s v="Old Age"/>
  </r>
  <r>
    <s v="ORD-01499"/>
    <d v="2021-11-03T00:00:00"/>
    <s v="CUST56836"/>
    <s v="Meera Singh"/>
    <n v="14"/>
    <x v="1"/>
    <x v="0"/>
    <s v="Bhopal"/>
    <x v="1"/>
    <x v="1"/>
    <n v="4"/>
    <n v="2378.5700000000002"/>
    <n v="0.06"/>
    <x v="733"/>
    <x v="733"/>
    <n v="68.11"/>
    <s v="EMI"/>
    <n v="4"/>
    <b v="0"/>
    <x v="1"/>
    <n v="7"/>
    <m/>
    <s v="Young Age"/>
  </r>
  <r>
    <s v="ORD-03800"/>
    <d v="2024-07-10T00:00:00"/>
    <s v="CUST91283"/>
    <s v="Ananya Verma"/>
    <n v="27"/>
    <x v="2"/>
    <x v="4"/>
    <s v="Hyderabad"/>
    <x v="6"/>
    <x v="38"/>
    <n v="10"/>
    <n v="9793.2999999999993"/>
    <n v="0.26"/>
    <x v="734"/>
    <x v="734"/>
    <n v="62.81"/>
    <s v="Cash on Delivery"/>
    <n v="2"/>
    <b v="0"/>
    <x v="1"/>
    <n v="9"/>
    <m/>
    <s v="Mid Age"/>
  </r>
  <r>
    <s v="ORD-02646"/>
    <d v="2023-02-17T00:00:00"/>
    <s v="CUST26372"/>
    <s v="Pooja Pillai"/>
    <n v="25"/>
    <x v="1"/>
    <x v="3"/>
    <s v="Kolkata"/>
    <x v="3"/>
    <x v="11"/>
    <n v="8"/>
    <n v="935.46"/>
    <n v="0.12"/>
    <x v="735"/>
    <x v="735"/>
    <n v="73.180000000000007"/>
    <s v="Cash on Delivery"/>
    <s v="N/A"/>
    <b v="0"/>
    <x v="3"/>
    <n v="8"/>
    <m/>
    <s v="Young Age"/>
  </r>
  <r>
    <s v="ORD-02453"/>
    <d v="2022-11-29T00:00:00"/>
    <s v="CUST60217"/>
    <s v="Vikram Gupta"/>
    <n v="50"/>
    <x v="1"/>
    <x v="3"/>
    <s v="Patna"/>
    <x v="2"/>
    <x v="13"/>
    <n v="9"/>
    <n v="23692.77"/>
    <n v="0.01"/>
    <x v="736"/>
    <x v="736"/>
    <n v="85.76"/>
    <s v="Cash on Delivery"/>
    <s v="N/A"/>
    <b v="0"/>
    <x v="1"/>
    <n v="3"/>
    <m/>
    <s v="Old Age"/>
  </r>
  <r>
    <s v="ORD-03331"/>
    <d v="2023-12-12T00:00:00"/>
    <s v="CUST97882"/>
    <s v="Aarav Singh"/>
    <n v="12"/>
    <x v="0"/>
    <x v="1"/>
    <s v="Mumbai"/>
    <x v="5"/>
    <x v="33"/>
    <n v="5"/>
    <n v="67132.789999999994"/>
    <n v="0.13"/>
    <x v="737"/>
    <x v="737"/>
    <n v="67.599999999999994"/>
    <s v="Cash on Delivery"/>
    <n v="5"/>
    <b v="0"/>
    <x v="1"/>
    <n v="3"/>
    <m/>
    <s v="Young Age"/>
  </r>
  <r>
    <s v="ORD-03250"/>
    <d v="2023-11-04T00:00:00"/>
    <s v="CUST90626"/>
    <s v="Aarav Joshi"/>
    <n v="42"/>
    <x v="2"/>
    <x v="2"/>
    <s v="Ludhiana"/>
    <x v="5"/>
    <x v="21"/>
    <n v="10"/>
    <n v="33487.31"/>
    <n v="0.11"/>
    <x v="738"/>
    <x v="738"/>
    <n v="64.650000000000006"/>
    <s v="EMI"/>
    <s v="N/A"/>
    <b v="0"/>
    <x v="1"/>
    <n v="9"/>
    <m/>
    <s v="Old Age"/>
  </r>
  <r>
    <s v="ORD-01808"/>
    <d v="2022-11-03T00:00:00"/>
    <s v="CUST91944"/>
    <s v="Priya Kumar"/>
    <s v="N/A"/>
    <x v="0"/>
    <x v="2"/>
    <s v="Delhi"/>
    <x v="5"/>
    <x v="21"/>
    <n v="7"/>
    <n v="51313.1"/>
    <n v="0.04"/>
    <x v="739"/>
    <x v="739"/>
    <n v="70.930000000000007"/>
    <s v="Credit Card"/>
    <n v="5"/>
    <b v="0"/>
    <x v="1"/>
    <n v="1"/>
    <m/>
    <s v="Old Age"/>
  </r>
  <r>
    <s v="ORD-03557"/>
    <d v="2024-03-26T00:00:00"/>
    <s v="CUST80826"/>
    <s v="Pooja Chatterjee"/>
    <n v="48"/>
    <x v="2"/>
    <x v="0"/>
    <s v="Nagpur"/>
    <x v="6"/>
    <x v="18"/>
    <n v="4"/>
    <n v="1266.6400000000001"/>
    <n v="0.09"/>
    <x v="740"/>
    <x v="740"/>
    <n v="67.58"/>
    <s v="Net Banking"/>
    <n v="3"/>
    <b v="0"/>
    <x v="1"/>
    <n v="3"/>
    <m/>
    <s v="Old Age"/>
  </r>
  <r>
    <s v="ORD-01952"/>
    <d v="2022-05-13T00:00:00"/>
    <s v="CUST78875"/>
    <s v="Nikhil Mishra"/>
    <n v="44"/>
    <x v="1"/>
    <x v="3"/>
    <s v="Patna"/>
    <x v="0"/>
    <x v="4"/>
    <n v="3"/>
    <n v="284.88"/>
    <n v="0.26"/>
    <x v="741"/>
    <x v="741"/>
    <n v="105.48"/>
    <s v="UPI"/>
    <n v="3"/>
    <b v="1"/>
    <x v="0"/>
    <n v="10"/>
    <m/>
    <s v="Old Age"/>
  </r>
  <r>
    <s v="ORD-03988"/>
    <d v="2024-09-15T00:00:00"/>
    <s v="CUST06985"/>
    <s v="Kavya Joshi"/>
    <n v="39"/>
    <x v="1"/>
    <x v="4"/>
    <s v="Bangalore"/>
    <x v="6"/>
    <x v="18"/>
    <n v="2"/>
    <n v="10400.51"/>
    <n v="0.39"/>
    <x v="742"/>
    <x v="742"/>
    <n v="79.88"/>
    <s v="EMI"/>
    <n v="2"/>
    <b v="0"/>
    <x v="1"/>
    <n v="5"/>
    <m/>
    <s v="Mid Age"/>
  </r>
  <r>
    <s v="ORD-00777"/>
    <d v="2020-12-18T00:00:00"/>
    <s v="CUST52222"/>
    <s v="Arjun Sharma"/>
    <n v="38"/>
    <x v="2"/>
    <x v="2"/>
    <s v="Chandigarh"/>
    <x v="6"/>
    <x v="38"/>
    <n v="3"/>
    <n v="3464.74"/>
    <n v="0.22"/>
    <x v="743"/>
    <x v="743"/>
    <n v="50.42"/>
    <s v="Net Banking"/>
    <n v="3"/>
    <b v="0"/>
    <x v="1"/>
    <n v="7"/>
    <m/>
    <s v="Mid Age"/>
  </r>
  <r>
    <s v="ORD-02091"/>
    <d v="2022-07-09T00:00:00"/>
    <s v="CUST74431"/>
    <s v="Nikhil Chatterjee"/>
    <n v="44"/>
    <x v="2"/>
    <x v="4"/>
    <s v="Kochi"/>
    <x v="5"/>
    <x v="33"/>
    <n v="4"/>
    <n v="6126.05"/>
    <n v="0.17"/>
    <x v="744"/>
    <x v="744"/>
    <n v="65.78"/>
    <s v="EMI"/>
    <n v="4"/>
    <b v="0"/>
    <x v="1"/>
    <n v="10"/>
    <m/>
    <s v="Old Age"/>
  </r>
  <r>
    <s v="ORD-01534"/>
    <d v="2021-11-19T00:00:00"/>
    <s v="CUST28621"/>
    <s v="Amit Kumar"/>
    <n v="44"/>
    <x v="1"/>
    <x v="2"/>
    <s v="Amritsar"/>
    <x v="5"/>
    <x v="21"/>
    <n v="7"/>
    <n v="37336.980000000003"/>
    <n v="0.14000000000000001"/>
    <x v="745"/>
    <x v="745"/>
    <n v="40.450000000000003"/>
    <s v="EMI"/>
    <n v="2"/>
    <b v="0"/>
    <x v="1"/>
    <n v="2"/>
    <m/>
    <s v="Old Age"/>
  </r>
  <r>
    <s v="ORD-01857"/>
    <d v="2022-04-01T00:00:00"/>
    <s v="CUST08818"/>
    <s v="Rahul Shah"/>
    <n v="35"/>
    <x v="0"/>
    <x v="0"/>
    <s v="Indore"/>
    <x v="0"/>
    <x v="0"/>
    <n v="3"/>
    <n v="303.99"/>
    <n v="0.4"/>
    <x v="746"/>
    <x v="746"/>
    <n v="35.74"/>
    <s v="Debit Card"/>
    <s v="N/A"/>
    <b v="0"/>
    <x v="1"/>
    <s v="N/A"/>
    <m/>
    <s v="Mid Age"/>
  </r>
  <r>
    <s v="ORD-01342"/>
    <d v="2021-08-26T00:00:00"/>
    <s v="CUST97259"/>
    <s v="Aarav Chatterjee"/>
    <n v="18"/>
    <x v="0"/>
    <x v="2"/>
    <s v="Ludhiana"/>
    <x v="0"/>
    <x v="4"/>
    <n v="7"/>
    <n v="438.39"/>
    <n v="0.11"/>
    <x v="747"/>
    <x v="747"/>
    <n v="28.61"/>
    <s v="Credit Card"/>
    <n v="4"/>
    <b v="0"/>
    <x v="4"/>
    <n v="3"/>
    <m/>
    <s v="Young Age"/>
  </r>
  <r>
    <s v="ORD-00718"/>
    <d v="2020-11-24T00:00:00"/>
    <s v="CUST87168"/>
    <s v="Pooja Bhat"/>
    <n v="32"/>
    <x v="2"/>
    <x v="1"/>
    <s v="Ahmedabad"/>
    <x v="0"/>
    <x v="34"/>
    <n v="6"/>
    <n v="79.33"/>
    <n v="0.21"/>
    <x v="748"/>
    <x v="748"/>
    <n v="33.119999999999997"/>
    <s v="Net Banking"/>
    <n v="1"/>
    <b v="0"/>
    <x v="1"/>
    <n v="2"/>
    <m/>
    <s v="Mid Age"/>
  </r>
  <r>
    <s v="ORD-00732"/>
    <d v="2020-12-01T00:00:00"/>
    <s v="CUST50773"/>
    <s v="Pooja Nair"/>
    <n v="38"/>
    <x v="0"/>
    <x v="2"/>
    <s v="Ludhiana"/>
    <x v="2"/>
    <x v="3"/>
    <n v="10"/>
    <n v="19507.14"/>
    <n v="0.23"/>
    <x v="749"/>
    <x v="749"/>
    <n v="47.48"/>
    <s v="Debit Card"/>
    <n v="2"/>
    <b v="1"/>
    <x v="0"/>
    <n v="2"/>
    <m/>
    <s v="Mid Age"/>
  </r>
  <r>
    <s v="ORD-01041"/>
    <d v="2021-04-17T00:00:00"/>
    <s v="CUST54549"/>
    <s v="Shreya Bose"/>
    <n v="26"/>
    <x v="0"/>
    <x v="4"/>
    <s v="Hyderabad"/>
    <x v="0"/>
    <x v="34"/>
    <n v="7"/>
    <n v="481.39"/>
    <n v="0.2"/>
    <x v="750"/>
    <x v="750"/>
    <n v="82.25"/>
    <s v="Net Banking"/>
    <n v="1"/>
    <b v="0"/>
    <x v="1"/>
    <n v="7"/>
    <m/>
    <s v="Mid Age"/>
  </r>
  <r>
    <s v="ORD-03263"/>
    <d v="2023-11-10T00:00:00"/>
    <s v="CUST94911"/>
    <s v="Rohan Gupta"/>
    <n v="23"/>
    <x v="0"/>
    <x v="2"/>
    <s v="Chandigarh"/>
    <x v="2"/>
    <x v="8"/>
    <n v="7"/>
    <n v="31424.240000000002"/>
    <n v="0.31"/>
    <x v="751"/>
    <x v="751"/>
    <n v="53.66"/>
    <s v="Debit Card"/>
    <n v="5"/>
    <b v="0"/>
    <x v="1"/>
    <n v="8"/>
    <m/>
    <s v="Young Age"/>
  </r>
  <r>
    <s v="ORD-01119"/>
    <d v="2021-05-19T00:00:00"/>
    <s v="CUST96816"/>
    <s v="Nisha Mehta"/>
    <n v="30"/>
    <x v="1"/>
    <x v="0"/>
    <s v="Bhopal"/>
    <x v="2"/>
    <x v="8"/>
    <n v="4"/>
    <n v="3717.76"/>
    <n v="0.18"/>
    <x v="752"/>
    <x v="752"/>
    <n v="8.31"/>
    <s v="EMI"/>
    <n v="2"/>
    <b v="0"/>
    <x v="3"/>
    <n v="9"/>
    <m/>
    <s v="Mid Age"/>
  </r>
  <r>
    <s v="ORD-01552"/>
    <d v="2021-11-28T00:00:00"/>
    <s v="CUST17708"/>
    <s v="Sunita Iyer"/>
    <n v="26"/>
    <x v="2"/>
    <x v="3"/>
    <s v="Patna"/>
    <x v="3"/>
    <x v="32"/>
    <n v="6"/>
    <n v="730.36"/>
    <n v="0.27"/>
    <x v="753"/>
    <x v="753"/>
    <n v="94.11"/>
    <s v="Cash on Delivery"/>
    <n v="3"/>
    <b v="0"/>
    <x v="1"/>
    <n v="8"/>
    <m/>
    <s v="Mid Age"/>
  </r>
  <r>
    <s v="ORD-00087"/>
    <d v="2020-02-04T00:00:00"/>
    <s v="CUST92405"/>
    <s v="Aditya Nair"/>
    <n v="19"/>
    <x v="2"/>
    <x v="4"/>
    <s v="Hyderabad"/>
    <x v="2"/>
    <x v="28"/>
    <n v="9"/>
    <n v="31457.07"/>
    <n v="0.1"/>
    <x v="754"/>
    <x v="754"/>
    <n v="103.27"/>
    <s v="Cash on Delivery"/>
    <n v="3"/>
    <b v="0"/>
    <x v="1"/>
    <n v="6"/>
    <m/>
    <s v="Young Age"/>
  </r>
  <r>
    <s v="ORD-01058"/>
    <d v="2021-04-24T00:00:00"/>
    <s v="CUST42637"/>
    <s v="Priya Kumar"/>
    <n v="21"/>
    <x v="2"/>
    <x v="0"/>
    <s v="Nagpur"/>
    <x v="4"/>
    <x v="7"/>
    <n v="9"/>
    <n v="905.46"/>
    <n v="0.26"/>
    <x v="755"/>
    <x v="755"/>
    <n v="40.75"/>
    <s v="Net Banking"/>
    <n v="3"/>
    <b v="1"/>
    <x v="0"/>
    <n v="2"/>
    <m/>
    <s v="Young Age"/>
  </r>
  <r>
    <s v="ORD-00820"/>
    <d v="2021-01-10T00:00:00"/>
    <s v="CUST00304"/>
    <s v="Vikram Gupta"/>
    <n v="36"/>
    <x v="1"/>
    <x v="1"/>
    <s v="Mumbai"/>
    <x v="4"/>
    <x v="12"/>
    <n v="1"/>
    <n v="3433.94"/>
    <n v="0.3"/>
    <x v="756"/>
    <x v="756"/>
    <n v="67.739999999999995"/>
    <s v="EMI"/>
    <s v="N/A"/>
    <b v="0"/>
    <x v="1"/>
    <n v="1"/>
    <m/>
    <s v="Mid Age"/>
  </r>
  <r>
    <s v="ORD-03578"/>
    <d v="2024-04-04T00:00:00"/>
    <s v="CUST61770"/>
    <s v="Aditya Iyer"/>
    <n v="17"/>
    <x v="0"/>
    <x v="3"/>
    <s v="Guwahati"/>
    <x v="2"/>
    <x v="3"/>
    <m/>
    <n v="7466.4"/>
    <n v="0.13"/>
    <x v="757"/>
    <x v="757"/>
    <n v="73.709999999999994"/>
    <s v="Cash on Delivery"/>
    <n v="2"/>
    <b v="1"/>
    <x v="0"/>
    <n v="10"/>
    <m/>
    <s v="Young Age"/>
  </r>
  <r>
    <s v="ORD-01248"/>
    <d v="2021-07-16T00:00:00"/>
    <s v="CUST02073"/>
    <s v="Karan Nair"/>
    <n v="28"/>
    <x v="0"/>
    <x v="1"/>
    <s v="Surat"/>
    <x v="4"/>
    <x v="14"/>
    <n v="3"/>
    <n v="1871.08"/>
    <n v="0.03"/>
    <x v="758"/>
    <x v="758"/>
    <n v="65.48"/>
    <s v="Cash on Delivery"/>
    <n v="1"/>
    <b v="0"/>
    <x v="1"/>
    <n v="7"/>
    <m/>
    <s v="Mid Age"/>
  </r>
  <r>
    <s v="ORD-00659"/>
    <d v="2020-10-22T00:00:00"/>
    <s v="CUST20907"/>
    <s v="Nikhil Nair"/>
    <n v="21"/>
    <x v="1"/>
    <x v="3"/>
    <s v="Kolkata"/>
    <x v="5"/>
    <x v="39"/>
    <n v="7"/>
    <n v="53035.199999999997"/>
    <n v="0.26"/>
    <x v="759"/>
    <x v="759"/>
    <n v="82.3"/>
    <s v="UPI"/>
    <n v="1"/>
    <b v="1"/>
    <x v="0"/>
    <n v="6"/>
    <m/>
    <s v="Young Age"/>
  </r>
  <r>
    <s v="ORD-00866"/>
    <d v="2021-01-30T00:00:00"/>
    <s v="CUST71222"/>
    <s v="Pooja Das"/>
    <n v="59"/>
    <x v="1"/>
    <x v="0"/>
    <s v="Bhopal"/>
    <x v="5"/>
    <x v="15"/>
    <n v="3"/>
    <n v="69155.55"/>
    <n v="0.25"/>
    <x v="760"/>
    <x v="760"/>
    <n v="54.42"/>
    <s v="EMI"/>
    <n v="3"/>
    <b v="0"/>
    <x v="1"/>
    <n v="9"/>
    <m/>
    <s v="Old Age"/>
  </r>
  <r>
    <s v="ORD-02674"/>
    <d v="2023-03-02T00:00:00"/>
    <s v="CUST43411"/>
    <s v="Ritu Shah"/>
    <n v="27"/>
    <x v="1"/>
    <x v="2"/>
    <s v="Delhi"/>
    <x v="1"/>
    <x v="23"/>
    <n v="2"/>
    <n v="920.67"/>
    <n v="0.24"/>
    <x v="761"/>
    <x v="761"/>
    <n v="61.3"/>
    <s v="Credit Card"/>
    <n v="4"/>
    <b v="0"/>
    <x v="1"/>
    <n v="3"/>
    <m/>
    <s v="Mid Age"/>
  </r>
  <r>
    <s v="ORD-01520"/>
    <d v="2021-11-15T00:00:00"/>
    <s v="CUST85696"/>
    <s v="Kavya Mishra"/>
    <n v="39"/>
    <x v="2"/>
    <x v="0"/>
    <s v="Indore"/>
    <x v="0"/>
    <x v="34"/>
    <n v="2"/>
    <n v="260.24"/>
    <n v="0.22"/>
    <x v="762"/>
    <x v="762"/>
    <n v="73.44"/>
    <s v="UPI"/>
    <n v="5"/>
    <b v="0"/>
    <x v="1"/>
    <n v="2"/>
    <m/>
    <s v="Mid Age"/>
  </r>
  <r>
    <s v="ORD-00479"/>
    <d v="2020-07-31T00:00:00"/>
    <s v="CUST08721"/>
    <s v="Priya Joshi"/>
    <n v="28"/>
    <x v="2"/>
    <x v="1"/>
    <s v="Ahmedabad"/>
    <x v="4"/>
    <x v="16"/>
    <n v="8"/>
    <n v="3369.18"/>
    <n v="0.05"/>
    <x v="763"/>
    <x v="763"/>
    <n v="65.099999999999994"/>
    <s v="UPI"/>
    <n v="3"/>
    <b v="0"/>
    <x v="1"/>
    <n v="10"/>
    <m/>
    <s v="Mid Age"/>
  </r>
  <r>
    <s v="ORD-03969"/>
    <d v="2024-09-08T00:00:00"/>
    <s v="CUST60604"/>
    <s v="Shreya Mehta"/>
    <n v="25"/>
    <x v="2"/>
    <x v="4"/>
    <s v="Bangalore"/>
    <x v="0"/>
    <x v="0"/>
    <n v="3"/>
    <n v="449.53"/>
    <n v="0.2"/>
    <x v="764"/>
    <x v="764"/>
    <n v="77.45"/>
    <s v="UPI"/>
    <n v="4"/>
    <b v="0"/>
    <x v="2"/>
    <n v="10"/>
    <m/>
    <s v="Young Age"/>
  </r>
  <r>
    <s v="ORD-00268"/>
    <d v="2020-04-27T00:00:00"/>
    <s v="CUST64785"/>
    <s v="Sunita Reddy"/>
    <n v="32"/>
    <x v="2"/>
    <x v="1"/>
    <s v="Mumbai"/>
    <x v="3"/>
    <x v="11"/>
    <n v="7"/>
    <n v="257.18"/>
    <n v="0.28999999999999998"/>
    <x v="127"/>
    <x v="127"/>
    <n v="60.36"/>
    <s v="Credit Card"/>
    <n v="1"/>
    <b v="0"/>
    <x v="3"/>
    <n v="5"/>
    <m/>
    <s v="Mid Age"/>
  </r>
  <r>
    <s v="ORD-01869"/>
    <d v="2022-04-04T00:00:00"/>
    <s v="CUST89646"/>
    <s v="Rohan Shah"/>
    <n v="45"/>
    <x v="0"/>
    <x v="3"/>
    <s v="Kolkata"/>
    <x v="6"/>
    <x v="20"/>
    <n v="3"/>
    <n v="1955.47"/>
    <n v="0.16"/>
    <x v="765"/>
    <x v="765"/>
    <n v="93.12"/>
    <s v="Cash on Delivery"/>
    <n v="3"/>
    <b v="0"/>
    <x v="4"/>
    <n v="3"/>
    <m/>
    <s v="Old Age"/>
  </r>
  <r>
    <s v="ORD-03181"/>
    <d v="2023-10-07T00:00:00"/>
    <s v="CUST05659"/>
    <s v="Priya Kumar"/>
    <n v="22"/>
    <x v="1"/>
    <x v="2"/>
    <s v="Ludhiana"/>
    <x v="0"/>
    <x v="35"/>
    <n v="2"/>
    <n v="216.82"/>
    <n v="0.28000000000000003"/>
    <x v="766"/>
    <x v="766"/>
    <n v="53.52"/>
    <s v="Net Banking"/>
    <n v="5"/>
    <b v="1"/>
    <x v="0"/>
    <n v="4"/>
    <m/>
    <s v="Young Age"/>
  </r>
  <r>
    <s v="ORD-00572"/>
    <d v="2020-09-12T00:00:00"/>
    <s v="CUST64941"/>
    <s v="Amit Nair"/>
    <n v="46"/>
    <x v="0"/>
    <x v="2"/>
    <s v="Ludhiana"/>
    <x v="6"/>
    <x v="38"/>
    <n v="2"/>
    <n v="7907.75"/>
    <n v="0.23"/>
    <x v="767"/>
    <x v="767"/>
    <n v="30.79"/>
    <s v="UPI"/>
    <n v="4"/>
    <b v="0"/>
    <x v="2"/>
    <n v="10"/>
    <m/>
    <s v="Old Age"/>
  </r>
  <r>
    <s v="ORD-00095"/>
    <d v="2020-02-06T00:00:00"/>
    <s v="CUST17595"/>
    <s v="Ritu Iyer"/>
    <n v="30"/>
    <x v="1"/>
    <x v="0"/>
    <s v="Nagpur"/>
    <x v="1"/>
    <x v="29"/>
    <n v="5"/>
    <n v="1398.56"/>
    <n v="0.11"/>
    <x v="768"/>
    <x v="768"/>
    <n v="41.33"/>
    <s v="Cash on Delivery"/>
    <n v="1"/>
    <b v="0"/>
    <x v="1"/>
    <n v="2"/>
    <m/>
    <s v="Mid Age"/>
  </r>
  <r>
    <s v="ORD-00386"/>
    <d v="2020-06-13T00:00:00"/>
    <s v="CUST61530"/>
    <s v="Rohan Nair"/>
    <n v="18"/>
    <x v="2"/>
    <x v="4"/>
    <s v="Hyderabad"/>
    <x v="0"/>
    <x v="0"/>
    <n v="9"/>
    <n v="264.60000000000002"/>
    <n v="0.39"/>
    <x v="769"/>
    <x v="769"/>
    <n v="70.83"/>
    <s v="Debit Card"/>
    <n v="5"/>
    <b v="0"/>
    <x v="1"/>
    <n v="1"/>
    <m/>
    <s v="Young Age"/>
  </r>
  <r>
    <s v="ORD-01321"/>
    <d v="2021-08-16T00:00:00"/>
    <s v="CUST60359"/>
    <s v="Kavya Gupta"/>
    <n v="42"/>
    <x v="2"/>
    <x v="0"/>
    <s v="Bhopal"/>
    <x v="3"/>
    <x v="5"/>
    <n v="3"/>
    <n v="886.35"/>
    <n v="0.25"/>
    <x v="770"/>
    <x v="770"/>
    <n v="51.22"/>
    <s v="EMI"/>
    <n v="1"/>
    <b v="0"/>
    <x v="1"/>
    <n v="6"/>
    <m/>
    <s v="Old Age"/>
  </r>
  <r>
    <s v="ORD-03432"/>
    <d v="2024-01-26T00:00:00"/>
    <s v="CUST93500"/>
    <s v="Kavya Gupta"/>
    <n v="35"/>
    <x v="1"/>
    <x v="1"/>
    <s v="Ahmedabad"/>
    <x v="3"/>
    <x v="32"/>
    <n v="6"/>
    <n v="589.55999999999995"/>
    <n v="0.33"/>
    <x v="771"/>
    <x v="771"/>
    <n v="73.88"/>
    <s v="Cash on Delivery"/>
    <n v="2"/>
    <b v="1"/>
    <x v="0"/>
    <n v="3"/>
    <m/>
    <s v="Mid Age"/>
  </r>
  <r>
    <s v="ORD-01995"/>
    <d v="2022-05-30T00:00:00"/>
    <s v="CUST56565"/>
    <s v="Sunita Joshi"/>
    <n v="25"/>
    <x v="1"/>
    <x v="3"/>
    <s v="Bhubaneswar"/>
    <x v="0"/>
    <x v="35"/>
    <n v="9"/>
    <n v="363.51"/>
    <n v="0.23"/>
    <x v="772"/>
    <x v="772"/>
    <n v="84.69"/>
    <s v="Cash on Delivery"/>
    <n v="4"/>
    <b v="1"/>
    <x v="0"/>
    <n v="7"/>
    <m/>
    <s v="Young Age"/>
  </r>
  <r>
    <s v="ORD-02537"/>
    <d v="2023-01-06T00:00:00"/>
    <s v="CUST57903"/>
    <s v="Aditya Shah"/>
    <n v="22"/>
    <x v="2"/>
    <x v="2"/>
    <s v="Delhi"/>
    <x v="0"/>
    <x v="36"/>
    <n v="6"/>
    <n v="303.67"/>
    <n v="0.05"/>
    <x v="773"/>
    <x v="773"/>
    <n v="66.2"/>
    <s v="Net Banking"/>
    <n v="1"/>
    <b v="0"/>
    <x v="2"/>
    <n v="7"/>
    <m/>
    <s v="Young Age"/>
  </r>
  <r>
    <s v="ORD-01383"/>
    <d v="2021-09-16T00:00:00"/>
    <s v="CUST61824"/>
    <s v="Priya Sharma"/>
    <n v="52"/>
    <x v="2"/>
    <x v="1"/>
    <s v="Surat"/>
    <x v="2"/>
    <x v="3"/>
    <n v="9"/>
    <n v="28138.720000000001"/>
    <n v="0"/>
    <x v="774"/>
    <x v="774"/>
    <n v="61.16"/>
    <s v="Debit Card"/>
    <n v="4"/>
    <b v="0"/>
    <x v="1"/>
    <n v="1"/>
    <m/>
    <s v="Old Age"/>
  </r>
  <r>
    <s v="ORD-00969"/>
    <d v="2021-03-17T00:00:00"/>
    <s v="CUST73466"/>
    <s v="Shreya Shah"/>
    <n v="17"/>
    <x v="0"/>
    <x v="3"/>
    <s v="Guwahati"/>
    <x v="5"/>
    <x v="25"/>
    <n v="3"/>
    <n v="53597.73"/>
    <n v="0.22"/>
    <x v="775"/>
    <x v="775"/>
    <n v="77.63"/>
    <s v="UPI"/>
    <n v="2"/>
    <b v="0"/>
    <x v="1"/>
    <n v="8"/>
    <m/>
    <s v="Young Age"/>
  </r>
  <r>
    <s v="ORD-01382"/>
    <d v="2021-09-16T00:00:00"/>
    <s v="CUST87197"/>
    <s v="Rohan Kumar"/>
    <n v="41"/>
    <x v="1"/>
    <x v="2"/>
    <s v="Amritsar"/>
    <x v="6"/>
    <x v="31"/>
    <n v="6"/>
    <n v="3598.68"/>
    <n v="0.09"/>
    <x v="776"/>
    <x v="776"/>
    <n v="56.7"/>
    <s v="Net Banking"/>
    <n v="2"/>
    <b v="0"/>
    <x v="1"/>
    <n v="8"/>
    <m/>
    <s v="Old Age"/>
  </r>
  <r>
    <s v="ORD-00927"/>
    <d v="2021-02-23T00:00:00"/>
    <s v="CUST72964"/>
    <s v="Sunita Shah"/>
    <n v="33"/>
    <x v="2"/>
    <x v="3"/>
    <s v="Kolkata"/>
    <x v="4"/>
    <x v="14"/>
    <n v="4"/>
    <n v="3257.05"/>
    <n v="0.24"/>
    <x v="777"/>
    <x v="777"/>
    <n v="80.55"/>
    <s v="Cash on Delivery"/>
    <s v="N/A"/>
    <b v="0"/>
    <x v="1"/>
    <n v="6"/>
    <m/>
    <s v="Mid Age"/>
  </r>
  <r>
    <s v="ORD-01607"/>
    <d v="2021-12-18T00:00:00"/>
    <s v="CUST44100"/>
    <s v="Deepa Mehta"/>
    <n v="66"/>
    <x v="0"/>
    <x v="2"/>
    <s v="Ludhiana"/>
    <x v="3"/>
    <x v="40"/>
    <n v="5"/>
    <n v="199.85"/>
    <n v="7.0000000000000007E-2"/>
    <x v="778"/>
    <x v="778"/>
    <n v="37.229999999999997"/>
    <s v="Credit Card"/>
    <n v="3"/>
    <b v="0"/>
    <x v="1"/>
    <n v="2"/>
    <m/>
    <s v="Old Age"/>
  </r>
  <r>
    <s v="ORD-01983"/>
    <d v="2022-05-26T00:00:00"/>
    <s v="CUST55032"/>
    <s v="Meera Nair"/>
    <n v="26"/>
    <x v="0"/>
    <x v="0"/>
    <s v="Nagpur"/>
    <x v="6"/>
    <x v="18"/>
    <n v="3"/>
    <n v="6064.09"/>
    <n v="0.03"/>
    <x v="779"/>
    <x v="779"/>
    <n v="55.09"/>
    <s v="Credit Card"/>
    <n v="2"/>
    <b v="0"/>
    <x v="1"/>
    <n v="6"/>
    <m/>
    <s v="Mid Age"/>
  </r>
  <r>
    <s v="ORD-01533"/>
    <d v="2021-11-19T00:00:00"/>
    <s v="CUST14357"/>
    <s v="Deepa Chatterjee"/>
    <n v="33"/>
    <x v="0"/>
    <x v="3"/>
    <s v="Patna"/>
    <x v="4"/>
    <x v="14"/>
    <n v="8"/>
    <n v="1386.86"/>
    <n v="0.03"/>
    <x v="780"/>
    <x v="780"/>
    <n v="71.34"/>
    <s v="EMI"/>
    <n v="4"/>
    <b v="0"/>
    <x v="1"/>
    <n v="9"/>
    <m/>
    <s v="Mid Age"/>
  </r>
  <r>
    <s v="ORD-00790"/>
    <d v="2020-12-26T00:00:00"/>
    <s v="CUST03149"/>
    <s v="Vikram Mehta"/>
    <n v="36"/>
    <x v="1"/>
    <x v="4"/>
    <s v="Chennai"/>
    <x v="0"/>
    <x v="35"/>
    <n v="8"/>
    <n v="312.61"/>
    <n v="0.28999999999999998"/>
    <x v="781"/>
    <x v="781"/>
    <n v="88.49"/>
    <s v="Net Banking"/>
    <n v="4"/>
    <b v="0"/>
    <x v="1"/>
    <n v="9"/>
    <m/>
    <s v="Mid Age"/>
  </r>
  <r>
    <s v="ORD-03428"/>
    <d v="2024-01-25T00:00:00"/>
    <s v="CUST34376"/>
    <s v="Ritu Reddy"/>
    <n v="13"/>
    <x v="1"/>
    <x v="3"/>
    <s v="Patna"/>
    <x v="3"/>
    <x v="40"/>
    <n v="2"/>
    <n v="1074.9000000000001"/>
    <n v="0.35"/>
    <x v="782"/>
    <x v="782"/>
    <n v="68.34"/>
    <s v="Debit Card"/>
    <n v="2"/>
    <b v="0"/>
    <x v="1"/>
    <n v="9"/>
    <m/>
    <s v="Young Age"/>
  </r>
  <r>
    <s v="ORD-02988"/>
    <d v="2023-07-18T00:00:00"/>
    <s v="CUST14176"/>
    <s v="Kavya Reddy"/>
    <n v="27"/>
    <x v="1"/>
    <x v="0"/>
    <s v="Indore"/>
    <x v="5"/>
    <x v="33"/>
    <n v="2"/>
    <n v="30216.69"/>
    <n v="0.16"/>
    <x v="783"/>
    <x v="783"/>
    <n v="80.069999999999993"/>
    <s v="EMI"/>
    <n v="2"/>
    <b v="0"/>
    <x v="4"/>
    <n v="5"/>
    <m/>
    <s v="Mid Age"/>
  </r>
  <r>
    <s v="ORD-01713"/>
    <d v="2022-02-01T00:00:00"/>
    <s v="CUST87459"/>
    <s v="Sanjay Das"/>
    <n v="22"/>
    <x v="1"/>
    <x v="4"/>
    <s v="Chennai"/>
    <x v="4"/>
    <x v="12"/>
    <n v="9"/>
    <n v="766.29"/>
    <n v="0.28000000000000003"/>
    <x v="784"/>
    <x v="784"/>
    <n v="46.79"/>
    <s v="UPI"/>
    <n v="1"/>
    <b v="0"/>
    <x v="1"/>
    <n v="7"/>
    <m/>
    <s v="Young Age"/>
  </r>
  <r>
    <s v="ORD-02220"/>
    <d v="2022-08-26T00:00:00"/>
    <s v="CUST94861"/>
    <s v="Nikhil Patel"/>
    <n v="63"/>
    <x v="2"/>
    <x v="1"/>
    <s v="Ahmedabad"/>
    <x v="6"/>
    <x v="27"/>
    <n v="1"/>
    <n v="9516.5400000000009"/>
    <n v="7.0000000000000007E-2"/>
    <x v="785"/>
    <x v="785"/>
    <n v="75.61"/>
    <s v="Debit Card"/>
    <n v="4"/>
    <b v="0"/>
    <x v="4"/>
    <n v="4"/>
    <m/>
    <s v="Old Age"/>
  </r>
  <r>
    <s v="ORD-04056"/>
    <d v="2024-10-25T00:00:00"/>
    <s v="CUST85837"/>
    <s v="Rohan Bhat"/>
    <n v="37"/>
    <x v="2"/>
    <x v="2"/>
    <s v="Amritsar"/>
    <x v="4"/>
    <x v="12"/>
    <n v="3"/>
    <n v="1187.4000000000001"/>
    <n v="0.35"/>
    <x v="786"/>
    <x v="786"/>
    <n v="39.79"/>
    <s v="Cash on Delivery"/>
    <n v="5"/>
    <b v="0"/>
    <x v="1"/>
    <n v="7"/>
    <m/>
    <s v="Mid Age"/>
  </r>
  <r>
    <s v="ORD-03871"/>
    <d v="2024-08-06T00:00:00"/>
    <s v="CUST30080"/>
    <s v="Nisha Rao"/>
    <n v="40"/>
    <x v="1"/>
    <x v="4"/>
    <s v="Hyderabad"/>
    <x v="2"/>
    <x v="2"/>
    <n v="8"/>
    <n v="29325.03"/>
    <n v="0.33"/>
    <x v="787"/>
    <x v="787"/>
    <n v="57.12"/>
    <s v="Cash on Delivery"/>
    <n v="5"/>
    <b v="0"/>
    <x v="1"/>
    <n v="2"/>
    <m/>
    <s v="Mid Age"/>
  </r>
  <r>
    <s v="ORD-02903"/>
    <d v="2023-06-08T00:00:00"/>
    <s v="CUST35531"/>
    <s v="Meera Iyer"/>
    <n v="39"/>
    <x v="2"/>
    <x v="0"/>
    <s v="Nagpur"/>
    <x v="4"/>
    <x v="16"/>
    <n v="7"/>
    <n v="983.45"/>
    <n v="0.03"/>
    <x v="788"/>
    <x v="788"/>
    <n v="67.48"/>
    <s v="Debit Card"/>
    <n v="4"/>
    <b v="1"/>
    <x v="0"/>
    <n v="10"/>
    <m/>
    <s v="Mid Age"/>
  </r>
  <r>
    <s v="ORD-02065"/>
    <d v="2022-06-30T00:00:00"/>
    <s v="CUST70033"/>
    <s v="Nisha Sharma"/>
    <n v="31"/>
    <x v="1"/>
    <x v="3"/>
    <s v="Guwahati"/>
    <x v="1"/>
    <x v="10"/>
    <n v="3"/>
    <n v="1275.56"/>
    <n v="0.37"/>
    <x v="789"/>
    <x v="789"/>
    <n v="99.3"/>
    <s v="Cash on Delivery"/>
    <n v="5"/>
    <b v="0"/>
    <x v="1"/>
    <n v="2"/>
    <m/>
    <s v="Mid Age"/>
  </r>
  <r>
    <s v="ORD-03223"/>
    <d v="2023-10-26T00:00:00"/>
    <s v="CUST08748"/>
    <s v="Amit Sharma"/>
    <n v="44"/>
    <x v="1"/>
    <x v="0"/>
    <s v="Nagpur"/>
    <x v="3"/>
    <x v="30"/>
    <n v="2"/>
    <n v="357.54"/>
    <n v="0.39"/>
    <x v="790"/>
    <x v="790"/>
    <n v="68.599999999999994"/>
    <s v="Net Banking"/>
    <n v="4"/>
    <b v="0"/>
    <x v="1"/>
    <n v="2"/>
    <m/>
    <s v="Old Age"/>
  </r>
  <r>
    <s v="ORD-02837"/>
    <s v="19/05/2023"/>
    <s v="CUST35159"/>
    <s v="Deepa Rao"/>
    <n v="55"/>
    <x v="2"/>
    <x v="2"/>
    <s v="Chandigarh"/>
    <x v="5"/>
    <x v="39"/>
    <m/>
    <n v="25313.99"/>
    <n v="0.27"/>
    <x v="791"/>
    <x v="791"/>
    <n v="51.93"/>
    <s v="Debit Card"/>
    <n v="4"/>
    <b v="0"/>
    <x v="1"/>
    <s v="N/A"/>
    <m/>
    <s v="Old Age"/>
  </r>
  <r>
    <s v="ORD-02611"/>
    <d v="2023-02-07T00:00:00"/>
    <s v="CUST82751"/>
    <s v="Vikram Verma"/>
    <n v="24"/>
    <x v="2"/>
    <x v="2"/>
    <s v="Ludhiana"/>
    <x v="3"/>
    <x v="19"/>
    <n v="9"/>
    <n v="1219.1099999999999"/>
    <n v="0.09"/>
    <x v="792"/>
    <x v="792"/>
    <n v="73.88"/>
    <s v="Debit Card"/>
    <n v="1"/>
    <b v="0"/>
    <x v="1"/>
    <n v="9"/>
    <m/>
    <s v="Young Age"/>
  </r>
  <r>
    <s v="ORD-00288"/>
    <d v="2020-05-07T00:00:00"/>
    <s v="CUST56916"/>
    <s v="Shreya Mishra"/>
    <n v="38"/>
    <x v="1"/>
    <x v="1"/>
    <s v="Mumbai"/>
    <x v="3"/>
    <x v="11"/>
    <n v="2"/>
    <n v="713.5"/>
    <n v="0.03"/>
    <x v="793"/>
    <x v="793"/>
    <n v="54.38"/>
    <s v="Debit Card"/>
    <n v="3"/>
    <b v="0"/>
    <x v="1"/>
    <n v="3"/>
    <m/>
    <s v="Mid Age"/>
  </r>
  <r>
    <s v="ORD-00962"/>
    <d v="2021-03-13T00:00:00"/>
    <s v="CUST30724"/>
    <s v="Amit Sharma"/>
    <n v="51"/>
    <x v="2"/>
    <x v="2"/>
    <s v="Delhi"/>
    <x v="0"/>
    <x v="0"/>
    <n v="5"/>
    <n v="432.25"/>
    <n v="0.01"/>
    <x v="794"/>
    <x v="794"/>
    <n v="37.049999999999997"/>
    <s v="EMI"/>
    <n v="2"/>
    <b v="0"/>
    <x v="1"/>
    <n v="10"/>
    <m/>
    <s v="Old Age"/>
  </r>
  <r>
    <s v="ORD-00911"/>
    <d v="2021-02-11T00:00:00"/>
    <s v="CUST78268"/>
    <s v="Shreya Sharma"/>
    <n v="21"/>
    <x v="2"/>
    <x v="3"/>
    <s v="Guwahati"/>
    <x v="6"/>
    <x v="20"/>
    <n v="6"/>
    <n v="9644.7800000000007"/>
    <n v="0.12"/>
    <x v="795"/>
    <x v="795"/>
    <n v="95.75"/>
    <s v="Debit Card"/>
    <n v="3"/>
    <b v="0"/>
    <x v="4"/>
    <n v="9"/>
    <m/>
    <s v="Young Age"/>
  </r>
  <r>
    <s v="ORD-00384"/>
    <d v="2020-06-12T00:00:00"/>
    <s v="CUST60562"/>
    <s v="Kavya Rao"/>
    <n v="25"/>
    <x v="1"/>
    <x v="2"/>
    <s v="Ludhiana"/>
    <x v="4"/>
    <x v="14"/>
    <n v="10"/>
    <n v="658.16"/>
    <n v="0.25"/>
    <x v="412"/>
    <x v="412"/>
    <n v="63.58"/>
    <s v="Cash on Delivery"/>
    <n v="1"/>
    <b v="0"/>
    <x v="1"/>
    <n v="7"/>
    <m/>
    <s v="Young Age"/>
  </r>
  <r>
    <s v="ORD-02833"/>
    <d v="2023-05-18T00:00:00"/>
    <s v="CUST95416"/>
    <s v="Rahul Singh"/>
    <n v="51"/>
    <x v="1"/>
    <x v="2"/>
    <s v="Chandigarh"/>
    <x v="3"/>
    <x v="32"/>
    <n v="6"/>
    <n v="473"/>
    <n v="0.16"/>
    <x v="796"/>
    <x v="796"/>
    <n v="55.81"/>
    <s v="Credit Card"/>
    <n v="1"/>
    <b v="1"/>
    <x v="0"/>
    <n v="4"/>
    <m/>
    <s v="Old Age"/>
  </r>
  <r>
    <s v="ORD-00691"/>
    <d v="2020-11-09T00:00:00"/>
    <s v="CUST03760"/>
    <s v="Shreya Bose"/>
    <n v="36"/>
    <x v="1"/>
    <x v="4"/>
    <s v="Hyderabad"/>
    <x v="4"/>
    <x v="6"/>
    <n v="9"/>
    <n v="1818.25"/>
    <n v="0.15"/>
    <x v="797"/>
    <x v="797"/>
    <n v="74.959999999999994"/>
    <s v="EMI"/>
    <n v="4"/>
    <b v="0"/>
    <x v="1"/>
    <n v="4"/>
    <m/>
    <s v="Mid Age"/>
  </r>
  <r>
    <s v="ORD-02089"/>
    <d v="2022-07-09T00:00:00"/>
    <s v="CUST77763"/>
    <s v="Shreya Nair"/>
    <n v="25"/>
    <x v="1"/>
    <x v="2"/>
    <s v="Ludhiana"/>
    <x v="2"/>
    <x v="3"/>
    <n v="6"/>
    <n v="28297.1"/>
    <n v="0.3"/>
    <x v="798"/>
    <x v="798"/>
    <n v="77.25"/>
    <s v="Credit Card"/>
    <n v="1"/>
    <b v="0"/>
    <x v="1"/>
    <n v="3"/>
    <m/>
    <s v="Young Age"/>
  </r>
  <r>
    <s v="ORD-03147"/>
    <d v="2023-09-26T00:00:00"/>
    <s v="CUST30274"/>
    <s v="Shreya Bhat"/>
    <n v="29"/>
    <x v="0"/>
    <x v="4"/>
    <s v="Bangalore"/>
    <x v="6"/>
    <x v="20"/>
    <n v="1"/>
    <n v="12275.23"/>
    <n v="0.09"/>
    <x v="799"/>
    <x v="799"/>
    <n v="58.94"/>
    <s v="Debit Card"/>
    <n v="3"/>
    <b v="1"/>
    <x v="0"/>
    <n v="6"/>
    <m/>
    <s v="Mid Age"/>
  </r>
  <r>
    <s v="ORD-02100"/>
    <d v="2022-07-13T00:00:00"/>
    <s v="CUST74233"/>
    <s v="Nisha Chatterjee"/>
    <n v="28"/>
    <x v="0"/>
    <x v="0"/>
    <s v="Raipur"/>
    <x v="0"/>
    <x v="34"/>
    <n v="2"/>
    <n v="116.27"/>
    <n v="0.28000000000000003"/>
    <x v="800"/>
    <x v="800"/>
    <n v="46.11"/>
    <s v="Cash on Delivery"/>
    <n v="2"/>
    <b v="0"/>
    <x v="2"/>
    <n v="9"/>
    <m/>
    <s v="Mid Age"/>
  </r>
  <r>
    <s v="ORD-02626"/>
    <d v="2023-02-14T00:00:00"/>
    <s v="CUST69406"/>
    <s v="Sunita Iyer"/>
    <n v="47"/>
    <x v="0"/>
    <x v="2"/>
    <s v="Chandigarh"/>
    <x v="5"/>
    <x v="33"/>
    <n v="10"/>
    <n v="19057.82"/>
    <n v="0.26"/>
    <x v="801"/>
    <x v="801"/>
    <n v="66.52"/>
    <s v="Net Banking"/>
    <n v="1"/>
    <b v="1"/>
    <x v="0"/>
    <n v="10"/>
    <m/>
    <s v="Old Age"/>
  </r>
  <r>
    <s v="ORD-02131"/>
    <d v="2022-07-24T00:00:00"/>
    <s v="CUST50804"/>
    <s v="Nisha Bose"/>
    <n v="22"/>
    <x v="2"/>
    <x v="0"/>
    <s v="Bhopal"/>
    <x v="0"/>
    <x v="9"/>
    <n v="9"/>
    <n v="422.02"/>
    <n v="0.37"/>
    <x v="802"/>
    <x v="802"/>
    <n v="83.86"/>
    <s v="Net Banking"/>
    <s v="N/A"/>
    <b v="1"/>
    <x v="0"/>
    <n v="4"/>
    <m/>
    <s v="Young Age"/>
  </r>
  <r>
    <s v="ORD-02079"/>
    <d v="2022-07-06T00:00:00"/>
    <s v="CUST04011"/>
    <s v="Ananya Mehta"/>
    <n v="42"/>
    <x v="1"/>
    <x v="4"/>
    <s v="Kochi"/>
    <x v="4"/>
    <x v="12"/>
    <n v="8"/>
    <n v="946.16"/>
    <n v="0.31"/>
    <x v="803"/>
    <x v="803"/>
    <n v="76.81"/>
    <s v="UPI"/>
    <n v="2"/>
    <b v="0"/>
    <x v="1"/>
    <n v="8"/>
    <m/>
    <s v="Old Age"/>
  </r>
  <r>
    <s v="ORD-03669"/>
    <d v="2024-05-14T00:00:00"/>
    <s v="CUST16468"/>
    <s v="Arjun Sharma"/>
    <n v="48"/>
    <x v="1"/>
    <x v="0"/>
    <s v="Bhopal"/>
    <x v="4"/>
    <x v="14"/>
    <n v="6"/>
    <n v="483.3"/>
    <n v="0.35"/>
    <x v="804"/>
    <x v="804"/>
    <n v="37.229999999999997"/>
    <s v="Credit Card"/>
    <s v="N/A"/>
    <b v="0"/>
    <x v="1"/>
    <n v="2"/>
    <m/>
    <s v="Old Age"/>
  </r>
  <r>
    <s v="ORD-02750"/>
    <d v="2023-04-05T00:00:00"/>
    <s v="CUST50334"/>
    <s v="Priya Singh"/>
    <n v="19"/>
    <x v="1"/>
    <x v="1"/>
    <s v="Ahmedabad"/>
    <x v="4"/>
    <x v="7"/>
    <n v="2"/>
    <n v="3794.57"/>
    <n v="0.05"/>
    <x v="805"/>
    <x v="805"/>
    <n v="23.37"/>
    <s v="EMI"/>
    <n v="5"/>
    <b v="0"/>
    <x v="1"/>
    <n v="3"/>
    <m/>
    <s v="Young Age"/>
  </r>
  <r>
    <s v="ORD-03909"/>
    <d v="2024-08-16T00:00:00"/>
    <s v="CUST57051"/>
    <s v="Pooja Chatterjee"/>
    <n v="31"/>
    <x v="1"/>
    <x v="2"/>
    <s v="Ludhiana"/>
    <x v="1"/>
    <x v="29"/>
    <n v="2"/>
    <n v="1235.5899999999999"/>
    <n v="0.05"/>
    <x v="806"/>
    <x v="806"/>
    <n v="44.87"/>
    <s v="Credit Card"/>
    <n v="1"/>
    <b v="0"/>
    <x v="1"/>
    <s v="N/A"/>
    <m/>
    <s v="Mid Age"/>
  </r>
  <r>
    <s v="ORD-00858"/>
    <d v="2021-01-26T00:00:00"/>
    <s v="CUST72879"/>
    <s v="Aditya Pillai"/>
    <n v="27"/>
    <x v="1"/>
    <x v="0"/>
    <s v="Bhopal"/>
    <x v="6"/>
    <x v="18"/>
    <n v="7"/>
    <n v="14159.23"/>
    <n v="0.18"/>
    <x v="807"/>
    <x v="807"/>
    <n v="65.260000000000005"/>
    <s v="EMI"/>
    <n v="5"/>
    <b v="0"/>
    <x v="4"/>
    <n v="1"/>
    <m/>
    <s v="Mid Age"/>
  </r>
  <r>
    <s v="ORD-00655"/>
    <d v="2020-10-21T00:00:00"/>
    <s v="CUST05466"/>
    <s v="Karan Kapoor"/>
    <n v="36"/>
    <x v="2"/>
    <x v="1"/>
    <s v="Ahmedabad"/>
    <x v="2"/>
    <x v="3"/>
    <n v="8"/>
    <n v="32918.629999999997"/>
    <n v="0.14000000000000001"/>
    <x v="808"/>
    <x v="808"/>
    <n v="49.07"/>
    <s v="Credit Card"/>
    <n v="3"/>
    <b v="0"/>
    <x v="1"/>
    <n v="1"/>
    <m/>
    <s v="Mid Age"/>
  </r>
  <r>
    <s v="ORD-02447"/>
    <d v="2022-11-28T00:00:00"/>
    <s v="CUST28654"/>
    <s v="Ananya Singh"/>
    <n v="34"/>
    <x v="0"/>
    <x v="2"/>
    <s v="Amritsar"/>
    <x v="0"/>
    <x v="35"/>
    <n v="3"/>
    <n v="394.51"/>
    <n v="0.05"/>
    <x v="809"/>
    <x v="809"/>
    <n v="50.11"/>
    <s v="UPI"/>
    <n v="2"/>
    <b v="0"/>
    <x v="4"/>
    <n v="7"/>
    <m/>
    <s v="Mid Age"/>
  </r>
  <r>
    <s v="ORD-03981"/>
    <d v="2024-09-12T00:00:00"/>
    <s v="CUST77329"/>
    <s v="Sanjay Mehta"/>
    <n v="34"/>
    <x v="2"/>
    <x v="0"/>
    <s v="Indore"/>
    <x v="0"/>
    <x v="34"/>
    <n v="8"/>
    <n v="383.85"/>
    <n v="0.39"/>
    <x v="810"/>
    <x v="810"/>
    <n v="57.65"/>
    <s v="Cash on Delivery"/>
    <n v="1"/>
    <b v="0"/>
    <x v="1"/>
    <n v="10"/>
    <m/>
    <s v="Mid Age"/>
  </r>
  <r>
    <s v="ORD-03668"/>
    <d v="2024-05-13T00:00:00"/>
    <s v="CUST73443"/>
    <s v="Vikram Pillai"/>
    <n v="21"/>
    <x v="2"/>
    <x v="3"/>
    <s v="Patna"/>
    <x v="2"/>
    <x v="8"/>
    <n v="6"/>
    <n v="17147.62"/>
    <n v="0.11"/>
    <x v="811"/>
    <x v="811"/>
    <n v="87.27"/>
    <s v="Credit Card"/>
    <n v="1"/>
    <b v="0"/>
    <x v="1"/>
    <n v="4"/>
    <m/>
    <s v="Young Age"/>
  </r>
  <r>
    <s v="ORD-00312"/>
    <d v="2020-05-16T00:00:00"/>
    <s v="CUST15821"/>
    <s v="Karan Kumar"/>
    <n v="39"/>
    <x v="2"/>
    <x v="2"/>
    <s v="Amritsar"/>
    <x v="4"/>
    <x v="7"/>
    <n v="1"/>
    <n v="507.78"/>
    <n v="0.16"/>
    <x v="812"/>
    <x v="812"/>
    <n v="30.01"/>
    <s v="Cash on Delivery"/>
    <n v="1"/>
    <b v="0"/>
    <x v="1"/>
    <n v="10"/>
    <m/>
    <s v="Mid Age"/>
  </r>
  <r>
    <s v="ORD-02446"/>
    <d v="2022-11-28T00:00:00"/>
    <s v="CUST10062"/>
    <s v="Sanjay Bhat"/>
    <n v="65"/>
    <x v="2"/>
    <x v="2"/>
    <s v="Delhi"/>
    <x v="1"/>
    <x v="10"/>
    <n v="3"/>
    <n v="2301.12"/>
    <n v="0.01"/>
    <x v="813"/>
    <x v="813"/>
    <n v="44.75"/>
    <s v="Debit Card"/>
    <n v="3"/>
    <b v="0"/>
    <x v="1"/>
    <n v="9"/>
    <m/>
    <s v="Old Age"/>
  </r>
  <r>
    <s v="ORD-01508"/>
    <d v="2021-11-08T00:00:00"/>
    <s v="CUST17295"/>
    <s v="Sanjay Sharma"/>
    <n v="36"/>
    <x v="1"/>
    <x v="4"/>
    <s v="Kochi"/>
    <x v="4"/>
    <x v="16"/>
    <n v="8"/>
    <n v="371.01"/>
    <n v="0.05"/>
    <x v="814"/>
    <x v="814"/>
    <n v="90.52"/>
    <s v="Debit Card"/>
    <n v="3"/>
    <b v="0"/>
    <x v="1"/>
    <n v="4"/>
    <m/>
    <s v="Mid Age"/>
  </r>
  <r>
    <s v="ORD-02907"/>
    <d v="2023-06-10T00:00:00"/>
    <s v="CUST44256"/>
    <s v="Sanjay Iyer"/>
    <n v="46"/>
    <x v="1"/>
    <x v="1"/>
    <s v="Ahmedabad"/>
    <x v="5"/>
    <x v="17"/>
    <n v="9"/>
    <n v="31196.73"/>
    <n v="0.12"/>
    <x v="815"/>
    <x v="815"/>
    <n v="59.85"/>
    <s v="UPI"/>
    <n v="1"/>
    <b v="0"/>
    <x v="1"/>
    <n v="1"/>
    <m/>
    <s v="Old Age"/>
  </r>
  <r>
    <s v="ORD-01624"/>
    <d v="2021-12-26T00:00:00"/>
    <s v="CUST88996"/>
    <s v="Nisha Singh"/>
    <n v="17"/>
    <x v="1"/>
    <x v="1"/>
    <s v="Mumbai"/>
    <x v="1"/>
    <x v="41"/>
    <n v="1"/>
    <n v="2178.9699999999998"/>
    <n v="0.2"/>
    <x v="816"/>
    <x v="816"/>
    <n v="65.86"/>
    <s v="Debit Card"/>
    <n v="2"/>
    <b v="1"/>
    <x v="0"/>
    <n v="9"/>
    <m/>
    <s v="Young Age"/>
  </r>
  <r>
    <s v="ORD-00260"/>
    <d v="2020-04-24T00:00:00"/>
    <s v="CUST61424"/>
    <s v="Ananya Gupta"/>
    <n v="33"/>
    <x v="0"/>
    <x v="3"/>
    <s v="Bhubaneswar"/>
    <x v="2"/>
    <x v="3"/>
    <n v="5"/>
    <n v="26679.1"/>
    <n v="0.14000000000000001"/>
    <x v="817"/>
    <x v="817"/>
    <n v="84.72"/>
    <s v="Cash on Delivery"/>
    <n v="4"/>
    <b v="0"/>
    <x v="4"/>
    <n v="6"/>
    <m/>
    <s v="Mid Age"/>
  </r>
  <r>
    <s v="ORD-03119"/>
    <d v="2023-09-09T00:00:00"/>
    <s v="CUST59443"/>
    <s v="Karan Bose"/>
    <n v="42"/>
    <x v="2"/>
    <x v="2"/>
    <s v="Amritsar"/>
    <x v="2"/>
    <x v="3"/>
    <n v="5"/>
    <n v="12592.51"/>
    <n v="0.28000000000000003"/>
    <x v="818"/>
    <x v="818"/>
    <n v="45.88"/>
    <s v="UPI"/>
    <n v="1"/>
    <b v="1"/>
    <x v="0"/>
    <n v="5"/>
    <m/>
    <s v="Old Age"/>
  </r>
  <r>
    <s v="ORD-00420"/>
    <d v="2020-07-05T00:00:00"/>
    <s v="CUST53531"/>
    <s v="Kavya Patel"/>
    <n v="30"/>
    <x v="2"/>
    <x v="0"/>
    <s v="Bhopal"/>
    <x v="5"/>
    <x v="21"/>
    <n v="3"/>
    <n v="65806.63"/>
    <n v="0.38"/>
    <x v="819"/>
    <x v="819"/>
    <n v="32.06"/>
    <s v="EMI"/>
    <n v="2"/>
    <b v="0"/>
    <x v="1"/>
    <n v="10"/>
    <m/>
    <s v="Mid Age"/>
  </r>
  <r>
    <s v="ORD-02767"/>
    <d v="2023-04-13T00:00:00"/>
    <s v="CUST75550"/>
    <s v="Deepa Rao"/>
    <n v="53"/>
    <x v="0"/>
    <x v="4"/>
    <s v="Bangalore"/>
    <x v="0"/>
    <x v="4"/>
    <n v="5"/>
    <n v="185.61"/>
    <n v="0.27"/>
    <x v="820"/>
    <x v="820"/>
    <n v="58.1"/>
    <s v="EMI"/>
    <n v="5"/>
    <b v="0"/>
    <x v="1"/>
    <n v="2"/>
    <m/>
    <s v="Old Age"/>
  </r>
  <r>
    <s v="ORD-00377"/>
    <d v="2020-06-09T00:00:00"/>
    <s v="CUST66402"/>
    <s v="Sunita Rao"/>
    <n v="33"/>
    <x v="0"/>
    <x v="0"/>
    <s v="Raipur"/>
    <x v="3"/>
    <x v="5"/>
    <n v="3"/>
    <n v="575.95000000000005"/>
    <n v="0"/>
    <x v="821"/>
    <x v="821"/>
    <n v="70.41"/>
    <s v="Cash on Delivery"/>
    <s v="N/A"/>
    <b v="0"/>
    <x v="1"/>
    <n v="9"/>
    <m/>
    <s v="Mid Age"/>
  </r>
  <r>
    <s v="ORD-00456"/>
    <d v="2020-07-20T00:00:00"/>
    <s v="CUST76466"/>
    <s v="Nikhil Singh"/>
    <n v="56"/>
    <x v="2"/>
    <x v="0"/>
    <s v="Raipur"/>
    <x v="0"/>
    <x v="34"/>
    <n v="8"/>
    <n v="353.32"/>
    <n v="0.31"/>
    <x v="822"/>
    <x v="822"/>
    <n v="72.56"/>
    <s v="Net Banking"/>
    <n v="3"/>
    <b v="0"/>
    <x v="4"/>
    <n v="5"/>
    <m/>
    <s v="Old Age"/>
  </r>
  <r>
    <s v="ORD-03233"/>
    <d v="2023-10-30T00:00:00"/>
    <s v="CUST27413"/>
    <s v="Amit Gupta"/>
    <n v="23"/>
    <x v="2"/>
    <x v="4"/>
    <s v="Hyderabad"/>
    <x v="4"/>
    <x v="16"/>
    <n v="8"/>
    <n v="1084.06"/>
    <n v="0.19"/>
    <x v="823"/>
    <x v="823"/>
    <n v="74.709999999999994"/>
    <s v="EMI"/>
    <n v="5"/>
    <b v="0"/>
    <x v="3"/>
    <n v="3"/>
    <m/>
    <s v="Young Age"/>
  </r>
  <r>
    <s v="ORD-02244"/>
    <d v="2022-09-06T00:00:00"/>
    <s v="CUST41690"/>
    <s v="Sanjay Joshi"/>
    <n v="37"/>
    <x v="0"/>
    <x v="0"/>
    <s v="Raipur"/>
    <x v="0"/>
    <x v="35"/>
    <n v="10"/>
    <n v="133.19999999999999"/>
    <n v="0.32"/>
    <x v="824"/>
    <x v="824"/>
    <n v="64.48"/>
    <s v="EMI"/>
    <n v="3"/>
    <b v="0"/>
    <x v="1"/>
    <n v="8"/>
    <m/>
    <s v="Mid Age"/>
  </r>
  <r>
    <s v="ORD-01182"/>
    <d v="2021-06-15T00:00:00"/>
    <s v="CUST88678"/>
    <s v="Deepa Sharma"/>
    <n v="40"/>
    <x v="2"/>
    <x v="1"/>
    <s v="Pune"/>
    <x v="5"/>
    <x v="39"/>
    <n v="9"/>
    <n v="72408.179999999993"/>
    <n v="0.22"/>
    <x v="825"/>
    <x v="825"/>
    <n v="41.95"/>
    <s v="Debit Card"/>
    <n v="5"/>
    <b v="0"/>
    <x v="1"/>
    <n v="3"/>
    <m/>
    <s v="Mid Age"/>
  </r>
  <r>
    <s v="ORD-01343"/>
    <d v="2021-08-26T00:00:00"/>
    <s v="CUST26367"/>
    <s v="Vikram Bose"/>
    <n v="55"/>
    <x v="2"/>
    <x v="3"/>
    <s v="Bhubaneswar"/>
    <x v="6"/>
    <x v="27"/>
    <n v="4"/>
    <n v="14419.59"/>
    <n v="0.34"/>
    <x v="826"/>
    <x v="826"/>
    <n v="63.9"/>
    <s v="UPI"/>
    <n v="2"/>
    <b v="0"/>
    <x v="1"/>
    <n v="4"/>
    <m/>
    <s v="Old Age"/>
  </r>
  <r>
    <s v="ORD-01071"/>
    <d v="2021-04-29T00:00:00"/>
    <s v="CUST61699"/>
    <s v="Rahul Verma"/>
    <n v="31"/>
    <x v="1"/>
    <x v="0"/>
    <s v="Raipur"/>
    <x v="2"/>
    <x v="8"/>
    <n v="1"/>
    <n v="2601.5100000000002"/>
    <n v="0.02"/>
    <x v="827"/>
    <x v="827"/>
    <n v="47.41"/>
    <s v="Net Banking"/>
    <n v="2"/>
    <b v="1"/>
    <x v="0"/>
    <n v="9"/>
    <m/>
    <s v="Mid Age"/>
  </r>
  <r>
    <s v="ORD-00102"/>
    <d v="2020-02-08T00:00:00"/>
    <s v="CUST59146"/>
    <s v="Nikhil Kapoor"/>
    <n v="39"/>
    <x v="0"/>
    <x v="3"/>
    <s v="Kolkata"/>
    <x v="0"/>
    <x v="4"/>
    <n v="4"/>
    <n v="151.09"/>
    <n v="0.02"/>
    <x v="828"/>
    <x v="828"/>
    <n v="80.209999999999994"/>
    <s v="Debit Card"/>
    <n v="2"/>
    <b v="0"/>
    <x v="1"/>
    <n v="10"/>
    <m/>
    <s v="Mid Age"/>
  </r>
  <r>
    <s v="ORD-00755"/>
    <d v="2020-12-08T00:00:00"/>
    <s v="CUST00745"/>
    <s v="Ananya Mehta"/>
    <n v="40"/>
    <x v="1"/>
    <x v="3"/>
    <s v="Kolkata"/>
    <x v="5"/>
    <x v="25"/>
    <n v="9"/>
    <n v="71873.78"/>
    <n v="0"/>
    <x v="829"/>
    <x v="829"/>
    <n v="91.31"/>
    <s v="Credit Card"/>
    <n v="5"/>
    <b v="0"/>
    <x v="1"/>
    <n v="7"/>
    <m/>
    <s v="Mid Age"/>
  </r>
  <r>
    <s v="ORD-04058"/>
    <d v="2024-10-26T00:00:00"/>
    <s v="CUST87657"/>
    <s v="Arjun Bhat"/>
    <n v="27"/>
    <x v="1"/>
    <x v="1"/>
    <s v="Pune"/>
    <x v="1"/>
    <x v="41"/>
    <n v="6"/>
    <n v="2486.23"/>
    <n v="0.11"/>
    <x v="830"/>
    <x v="830"/>
    <n v="65.88"/>
    <s v="Cash on Delivery"/>
    <n v="4"/>
    <b v="1"/>
    <x v="0"/>
    <n v="8"/>
    <m/>
    <s v="Mid Age"/>
  </r>
  <r>
    <s v="ORD-00795"/>
    <d v="2020-12-28T00:00:00"/>
    <s v="CUST00853"/>
    <s v="Pooja Chatterjee"/>
    <n v="52"/>
    <x v="0"/>
    <x v="0"/>
    <s v="Raipur"/>
    <x v="0"/>
    <x v="4"/>
    <n v="7"/>
    <n v="103.75"/>
    <n v="0.32"/>
    <x v="831"/>
    <x v="831"/>
    <n v="67.069999999999993"/>
    <s v="Debit Card"/>
    <n v="5"/>
    <b v="0"/>
    <x v="1"/>
    <n v="4"/>
    <m/>
    <s v="Old Age"/>
  </r>
  <r>
    <s v="ORD-02245"/>
    <d v="2022-09-07T00:00:00"/>
    <s v="CUST73701"/>
    <s v="Deepa Patel"/>
    <s v="N/A"/>
    <x v="0"/>
    <x v="4"/>
    <s v="Kochi"/>
    <x v="5"/>
    <x v="21"/>
    <n v="4"/>
    <n v="45635.8"/>
    <n v="0.04"/>
    <x v="832"/>
    <x v="832"/>
    <n v="69.48"/>
    <s v="Net Banking"/>
    <n v="4"/>
    <b v="0"/>
    <x v="1"/>
    <n v="1"/>
    <m/>
    <s v="Old Age"/>
  </r>
  <r>
    <s v="ORD-01270"/>
    <d v="2021-07-27T00:00:00"/>
    <s v="CUST77971"/>
    <s v="Meera Joshi"/>
    <n v="26"/>
    <x v="1"/>
    <x v="4"/>
    <s v="Bangalore"/>
    <x v="0"/>
    <x v="34"/>
    <n v="8"/>
    <n v="239.96"/>
    <n v="0.33"/>
    <x v="833"/>
    <x v="833"/>
    <n v="35.590000000000003"/>
    <s v="Credit Card"/>
    <n v="3"/>
    <b v="0"/>
    <x v="1"/>
    <n v="4"/>
    <m/>
    <s v="Mid Age"/>
  </r>
  <r>
    <s v="ORD-03463"/>
    <d v="2024-02-09T00:00:00"/>
    <s v="CUST64065"/>
    <s v="Deepa Rao"/>
    <n v="16"/>
    <x v="1"/>
    <x v="3"/>
    <s v="Kolkata"/>
    <x v="0"/>
    <x v="9"/>
    <n v="1"/>
    <n v="65.16"/>
    <n v="7.0000000000000007E-2"/>
    <x v="834"/>
    <x v="834"/>
    <n v="93.34"/>
    <s v="EMI"/>
    <n v="3"/>
    <b v="0"/>
    <x v="1"/>
    <n v="3"/>
    <m/>
    <s v="Young Age"/>
  </r>
  <r>
    <s v="ORD-03213"/>
    <d v="2023-10-21T00:00:00"/>
    <s v="CUST91826"/>
    <s v="Sanjay Patel"/>
    <n v="40"/>
    <x v="0"/>
    <x v="2"/>
    <s v="Delhi"/>
    <x v="2"/>
    <x v="2"/>
    <n v="10"/>
    <n v="6877.63"/>
    <n v="0.32"/>
    <x v="835"/>
    <x v="835"/>
    <n v="38.46"/>
    <s v="Credit Card"/>
    <n v="3"/>
    <b v="0"/>
    <x v="1"/>
    <n v="8"/>
    <m/>
    <s v="Mid Age"/>
  </r>
  <r>
    <s v="ORD-02929"/>
    <d v="2023-06-21T00:00:00"/>
    <s v="CUST82307"/>
    <s v="Sanjay Kumar"/>
    <n v="28"/>
    <x v="1"/>
    <x v="1"/>
    <s v="Mumbai"/>
    <x v="5"/>
    <x v="25"/>
    <n v="8"/>
    <n v="11278.1"/>
    <n v="0.36"/>
    <x v="836"/>
    <x v="836"/>
    <n v="60.7"/>
    <s v="Net Banking"/>
    <n v="3"/>
    <b v="0"/>
    <x v="1"/>
    <n v="8"/>
    <m/>
    <s v="Mid Age"/>
  </r>
  <r>
    <s v="ORD-01420"/>
    <d v="2021-10-01T00:00:00"/>
    <s v="CUST46668"/>
    <s v="Ananya Reddy"/>
    <n v="28"/>
    <x v="0"/>
    <x v="3"/>
    <s v="Bhubaneswar"/>
    <x v="1"/>
    <x v="10"/>
    <n v="2"/>
    <n v="796.25"/>
    <n v="0"/>
    <x v="837"/>
    <x v="837"/>
    <n v="70.91"/>
    <s v="EMI"/>
    <s v="N/A"/>
    <b v="0"/>
    <x v="1"/>
    <n v="3"/>
    <m/>
    <s v="Mid Age"/>
  </r>
  <r>
    <s v="ORD-01441"/>
    <d v="2021-10-11T00:00:00"/>
    <s v="CUST46668"/>
    <s v="Karan Bhat"/>
    <n v="36"/>
    <x v="2"/>
    <x v="1"/>
    <s v="Pune"/>
    <x v="3"/>
    <x v="40"/>
    <n v="7"/>
    <n v="1187.0999999999999"/>
    <n v="0.13"/>
    <x v="838"/>
    <x v="838"/>
    <n v="88.18"/>
    <s v="EMI"/>
    <n v="3"/>
    <b v="0"/>
    <x v="1"/>
    <n v="5"/>
    <m/>
    <s v="Mid Age"/>
  </r>
  <r>
    <s v="ORD-01615"/>
    <d v="2021-12-24T00:00:00"/>
    <s v="CUST49728"/>
    <s v="Sunita Singh"/>
    <n v="32"/>
    <x v="2"/>
    <x v="0"/>
    <s v="Bhopal"/>
    <x v="4"/>
    <x v="16"/>
    <n v="3"/>
    <n v="3628.14"/>
    <n v="0.24"/>
    <x v="839"/>
    <x v="839"/>
    <n v="52.79"/>
    <s v="EMI"/>
    <n v="2"/>
    <b v="0"/>
    <x v="1"/>
    <n v="1"/>
    <m/>
    <s v="Mid Age"/>
  </r>
  <r>
    <s v="ORD-02718"/>
    <d v="2023-03-25T00:00:00"/>
    <s v="CUST87274"/>
    <s v="Deepa Kumar"/>
    <n v="40"/>
    <x v="1"/>
    <x v="4"/>
    <s v="Chennai"/>
    <x v="1"/>
    <x v="37"/>
    <m/>
    <n v="1290.8800000000001"/>
    <n v="0.31"/>
    <x v="840"/>
    <x v="840"/>
    <n v="68.06"/>
    <s v="Cash on Delivery"/>
    <n v="1"/>
    <b v="1"/>
    <x v="0"/>
    <n v="5"/>
    <m/>
    <s v="Mid Age"/>
  </r>
  <r>
    <s v="ORD-02739"/>
    <d v="2023-03-31T00:00:00"/>
    <s v="CUST55589"/>
    <s v="Priya Mishra"/>
    <n v="36"/>
    <x v="1"/>
    <x v="2"/>
    <s v="Amritsar"/>
    <x v="6"/>
    <x v="27"/>
    <n v="8"/>
    <n v="12824.11"/>
    <n v="0.11"/>
    <x v="841"/>
    <x v="841"/>
    <n v="76.78"/>
    <s v="Cash on Delivery"/>
    <n v="2"/>
    <b v="0"/>
    <x v="1"/>
    <n v="6"/>
    <m/>
    <s v="Mid Age"/>
  </r>
  <r>
    <s v="ORD-02536"/>
    <d v="2023-01-06T00:00:00"/>
    <s v="CUST18948"/>
    <s v="Amit Shah"/>
    <n v="51"/>
    <x v="1"/>
    <x v="1"/>
    <s v="Surat"/>
    <x v="1"/>
    <x v="37"/>
    <n v="3"/>
    <n v="1967.85"/>
    <n v="0.31"/>
    <x v="842"/>
    <x v="842"/>
    <n v="55"/>
    <s v="Cash on Delivery"/>
    <n v="3"/>
    <b v="0"/>
    <x v="1"/>
    <n v="2"/>
    <m/>
    <s v="Old Age"/>
  </r>
  <r>
    <s v="ORD-01654"/>
    <d v="2022-01-07T00:00:00"/>
    <s v="CUST39219"/>
    <s v="Meera Iyer"/>
    <n v="5"/>
    <x v="1"/>
    <x v="3"/>
    <s v="Kolkata"/>
    <x v="4"/>
    <x v="12"/>
    <n v="1"/>
    <n v="1100.4000000000001"/>
    <n v="0.24"/>
    <x v="843"/>
    <x v="843"/>
    <n v="62.15"/>
    <s v="Credit Card"/>
    <n v="2"/>
    <b v="0"/>
    <x v="1"/>
    <n v="8"/>
    <m/>
    <s v="Young Age"/>
  </r>
  <r>
    <s v="ORD-03905"/>
    <d v="2024-08-15T00:00:00"/>
    <s v="CUST19408"/>
    <s v="Rohan Mehta"/>
    <n v="37"/>
    <x v="1"/>
    <x v="3"/>
    <s v="Guwahati"/>
    <x v="0"/>
    <x v="34"/>
    <n v="9"/>
    <n v="239.9"/>
    <n v="0.31"/>
    <x v="844"/>
    <x v="844"/>
    <n v="93.43"/>
    <s v="Cash on Delivery"/>
    <n v="5"/>
    <b v="0"/>
    <x v="1"/>
    <n v="1"/>
    <m/>
    <s v="Mid Age"/>
  </r>
  <r>
    <s v="ORD-01309"/>
    <d v="2021-08-11T00:00:00"/>
    <s v="CUST97836"/>
    <s v="Arjun Sharma"/>
    <n v="34"/>
    <x v="1"/>
    <x v="3"/>
    <s v="Guwahati"/>
    <x v="1"/>
    <x v="1"/>
    <n v="5"/>
    <n v="1439.39"/>
    <n v="0"/>
    <x v="845"/>
    <x v="845"/>
    <n v="86.11"/>
    <s v="Debit Card"/>
    <n v="3"/>
    <b v="0"/>
    <x v="1"/>
    <n v="5"/>
    <m/>
    <s v="Mid Age"/>
  </r>
  <r>
    <s v="ORD-00750"/>
    <d v="2020-12-07T00:00:00"/>
    <s v="CUST88589"/>
    <s v="Karan Joshi"/>
    <n v="47"/>
    <x v="2"/>
    <x v="1"/>
    <s v="Surat"/>
    <x v="1"/>
    <x v="1"/>
    <n v="2"/>
    <n v="2232.87"/>
    <n v="0.03"/>
    <x v="846"/>
    <x v="846"/>
    <n v="54.23"/>
    <s v="UPI"/>
    <n v="2"/>
    <b v="0"/>
    <x v="4"/>
    <n v="8"/>
    <m/>
    <s v="Old Age"/>
  </r>
  <r>
    <s v="ORD-01082"/>
    <d v="2021-05-04T00:00:00"/>
    <s v="CUST69812"/>
    <s v="Ritu Kapoor"/>
    <n v="44"/>
    <x v="0"/>
    <x v="3"/>
    <s v="Kolkata"/>
    <x v="3"/>
    <x v="19"/>
    <n v="10"/>
    <n v="924.25"/>
    <n v="0.28000000000000003"/>
    <x v="847"/>
    <x v="847"/>
    <n v="85.57"/>
    <s v="Cash on Delivery"/>
    <n v="4"/>
    <b v="0"/>
    <x v="1"/>
    <n v="10"/>
    <m/>
    <s v="Old Age"/>
  </r>
  <r>
    <s v="ORD-00392"/>
    <d v="2020-06-16T00:00:00"/>
    <s v="CUST50327"/>
    <s v="Aarav Singh"/>
    <n v="49"/>
    <x v="1"/>
    <x v="0"/>
    <s v="Nagpur"/>
    <x v="5"/>
    <x v="15"/>
    <n v="3"/>
    <n v="10166.75"/>
    <n v="0.15"/>
    <x v="848"/>
    <x v="848"/>
    <n v="82.1"/>
    <s v="UPI"/>
    <s v="N/A"/>
    <b v="0"/>
    <x v="1"/>
    <n v="3"/>
    <m/>
    <s v="Old Age"/>
  </r>
  <r>
    <s v="ORD-01028"/>
    <d v="2021-04-11T00:00:00"/>
    <s v="CUST33135"/>
    <s v="Arjun Patel"/>
    <n v="40"/>
    <x v="2"/>
    <x v="3"/>
    <s v="Guwahati"/>
    <x v="3"/>
    <x v="40"/>
    <n v="9"/>
    <n v="910.81"/>
    <n v="0.16"/>
    <x v="849"/>
    <x v="849"/>
    <n v="59.89"/>
    <s v="Net Banking"/>
    <n v="4"/>
    <b v="0"/>
    <x v="1"/>
    <n v="9"/>
    <m/>
    <s v="Mid Age"/>
  </r>
  <r>
    <s v="ORD-00895"/>
    <d v="2021-02-06T00:00:00"/>
    <s v="CUST68309"/>
    <s v="Nikhil Gupta"/>
    <n v="19"/>
    <x v="1"/>
    <x v="0"/>
    <s v="Raipur"/>
    <x v="2"/>
    <x v="24"/>
    <n v="8"/>
    <n v="10068.23"/>
    <n v="0.21"/>
    <x v="850"/>
    <x v="850"/>
    <n v="69.23"/>
    <s v="Cash on Delivery"/>
    <n v="3"/>
    <b v="0"/>
    <x v="1"/>
    <n v="9"/>
    <m/>
    <s v="Young Age"/>
  </r>
  <r>
    <s v="ORD-03097"/>
    <d v="2023-08-30T00:00:00"/>
    <s v="CUST96631"/>
    <s v="Ritu Mishra"/>
    <n v="26"/>
    <x v="2"/>
    <x v="2"/>
    <s v="Amritsar"/>
    <x v="1"/>
    <x v="41"/>
    <n v="6"/>
    <n v="398.85"/>
    <n v="0.17"/>
    <x v="851"/>
    <x v="851"/>
    <n v="56.56"/>
    <s v="Net Banking"/>
    <n v="2"/>
    <b v="0"/>
    <x v="1"/>
    <n v="10"/>
    <m/>
    <s v="Mid Age"/>
  </r>
  <r>
    <s v="ORD-03816"/>
    <d v="2024-07-18T00:00:00"/>
    <s v="CUST84507"/>
    <s v="Aditya Rao"/>
    <n v="43"/>
    <x v="2"/>
    <x v="1"/>
    <s v="Surat"/>
    <x v="4"/>
    <x v="26"/>
    <n v="4"/>
    <n v="2908.06"/>
    <n v="0.14000000000000001"/>
    <x v="852"/>
    <x v="852"/>
    <n v="65.75"/>
    <s v="Cash on Delivery"/>
    <n v="5"/>
    <b v="0"/>
    <x v="1"/>
    <n v="8"/>
    <m/>
    <s v="Old Age"/>
  </r>
  <r>
    <s v="ORD-03490"/>
    <d v="2024-02-26T00:00:00"/>
    <s v="CUST29539"/>
    <s v="Pooja Patel"/>
    <n v="50"/>
    <x v="0"/>
    <x v="3"/>
    <s v="Kolkata"/>
    <x v="5"/>
    <x v="17"/>
    <n v="3"/>
    <n v="60157.14"/>
    <n v="0.06"/>
    <x v="853"/>
    <x v="853"/>
    <n v="69.5"/>
    <s v="Cash on Delivery"/>
    <n v="4"/>
    <b v="0"/>
    <x v="1"/>
    <n v="7"/>
    <m/>
    <s v="Old Age"/>
  </r>
  <r>
    <s v="ORD-00331"/>
    <d v="2020-05-23T00:00:00"/>
    <s v="CUST80859"/>
    <s v="Aditya Sharma"/>
    <n v="35"/>
    <x v="0"/>
    <x v="4"/>
    <s v="Bangalore"/>
    <x v="2"/>
    <x v="8"/>
    <m/>
    <n v="22329.62"/>
    <n v="0.19"/>
    <x v="854"/>
    <x v="854"/>
    <n v="69.17"/>
    <s v="Cash on Delivery"/>
    <n v="4"/>
    <b v="0"/>
    <x v="1"/>
    <n v="4"/>
    <m/>
    <s v="Mid Age"/>
  </r>
  <r>
    <s v="ORD-02075"/>
    <d v="2022-07-04T00:00:00"/>
    <s v="CUST98678"/>
    <s v="Karan Kumar"/>
    <n v="63"/>
    <x v="0"/>
    <x v="1"/>
    <s v="Ahmedabad"/>
    <x v="5"/>
    <x v="21"/>
    <n v="9"/>
    <n v="34736.78"/>
    <n v="0.4"/>
    <x v="855"/>
    <x v="855"/>
    <n v="59.96"/>
    <s v="Debit Card"/>
    <n v="3"/>
    <b v="0"/>
    <x v="1"/>
    <n v="4"/>
    <m/>
    <s v="Old Age"/>
  </r>
  <r>
    <s v="ORD-01247"/>
    <d v="2021-07-16T00:00:00"/>
    <s v="CUST10958"/>
    <s v="Rahul Nair"/>
    <n v="52"/>
    <x v="1"/>
    <x v="2"/>
    <s v="Chandigarh"/>
    <x v="6"/>
    <x v="27"/>
    <n v="9"/>
    <n v="10077.49"/>
    <n v="0.34"/>
    <x v="577"/>
    <x v="577"/>
    <n v="71.95"/>
    <s v="Cash on Delivery"/>
    <n v="3"/>
    <b v="0"/>
    <x v="1"/>
    <n v="2"/>
    <m/>
    <s v="Old Age"/>
  </r>
  <r>
    <s v="ORD-00159"/>
    <d v="2020-03-07T00:00:00"/>
    <s v="CUST53040"/>
    <s v="Rahul Joshi"/>
    <n v="32"/>
    <x v="0"/>
    <x v="0"/>
    <s v="Bhopal"/>
    <x v="6"/>
    <x v="38"/>
    <n v="8"/>
    <n v="6252.97"/>
    <n v="0.2"/>
    <x v="856"/>
    <x v="856"/>
    <n v="48.73"/>
    <s v="Credit Card"/>
    <n v="3"/>
    <b v="0"/>
    <x v="1"/>
    <n v="3"/>
    <m/>
    <s v="Mid Age"/>
  </r>
  <r>
    <s v="ORD-00486"/>
    <d v="2020-08-03T00:00:00"/>
    <s v="CUST70631"/>
    <s v="Arjun Kapoor"/>
    <n v="42"/>
    <x v="0"/>
    <x v="4"/>
    <s v="Hyderabad"/>
    <x v="3"/>
    <x v="19"/>
    <n v="8"/>
    <n v="989.77"/>
    <n v="0.36"/>
    <x v="857"/>
    <x v="857"/>
    <n v="76.760000000000005"/>
    <s v="Cash on Delivery"/>
    <n v="5"/>
    <b v="0"/>
    <x v="2"/>
    <n v="1"/>
    <m/>
    <s v="Old Age"/>
  </r>
  <r>
    <s v="ORD-00348"/>
    <d v="2020-05-30T00:00:00"/>
    <s v="CUST36817"/>
    <s v="Ritu Verma"/>
    <n v="29"/>
    <x v="1"/>
    <x v="4"/>
    <s v="Hyderabad"/>
    <x v="3"/>
    <x v="40"/>
    <n v="8"/>
    <n v="466.9"/>
    <n v="0.36"/>
    <x v="858"/>
    <x v="858"/>
    <n v="79.08"/>
    <s v="Cash on Delivery"/>
    <n v="2"/>
    <b v="0"/>
    <x v="1"/>
    <n v="10"/>
    <m/>
    <s v="Mid Age"/>
  </r>
  <r>
    <s v="ORD-03138"/>
    <d v="2023-09-17T00:00:00"/>
    <s v="CUST63631"/>
    <s v="Vikram Das"/>
    <n v="38"/>
    <x v="1"/>
    <x v="2"/>
    <s v="Amritsar"/>
    <x v="6"/>
    <x v="18"/>
    <n v="4"/>
    <n v="3391.86"/>
    <n v="0.04"/>
    <x v="859"/>
    <x v="859"/>
    <n v="68.459999999999994"/>
    <s v="Credit Card"/>
    <n v="3"/>
    <b v="0"/>
    <x v="3"/>
    <n v="2"/>
    <m/>
    <s v="Mid Age"/>
  </r>
  <r>
    <s v="ORD-01347"/>
    <d v="2021-08-29T00:00:00"/>
    <s v="CUST43896"/>
    <s v="Rohan Nair"/>
    <n v="24"/>
    <x v="2"/>
    <x v="3"/>
    <s v="Guwahati"/>
    <x v="6"/>
    <x v="27"/>
    <n v="1"/>
    <n v="3087.59"/>
    <n v="7.0000000000000007E-2"/>
    <x v="860"/>
    <x v="860"/>
    <n v="85.46"/>
    <s v="Credit Card"/>
    <n v="2"/>
    <b v="0"/>
    <x v="1"/>
    <n v="4"/>
    <m/>
    <s v="Young Age"/>
  </r>
  <r>
    <s v="ORD-03544"/>
    <d v="2024-03-20T00:00:00"/>
    <s v="CUST29796"/>
    <s v="Sanjay Bose"/>
    <n v="39"/>
    <x v="1"/>
    <x v="2"/>
    <s v="Ludhiana"/>
    <x v="6"/>
    <x v="22"/>
    <n v="4"/>
    <n v="14899.55"/>
    <n v="0.09"/>
    <x v="861"/>
    <x v="861"/>
    <n v="21.44"/>
    <s v="Cash on Delivery"/>
    <n v="4"/>
    <b v="0"/>
    <x v="1"/>
    <n v="7"/>
    <m/>
    <s v="Mid Age"/>
  </r>
  <r>
    <s v="ORD-03719"/>
    <d v="2024-06-10T00:00:00"/>
    <s v="CUST03355"/>
    <s v="Arjun Kapoor"/>
    <n v="43"/>
    <x v="1"/>
    <x v="4"/>
    <s v="Hyderabad"/>
    <x v="6"/>
    <x v="22"/>
    <n v="2"/>
    <n v="3506.29"/>
    <n v="0.28999999999999998"/>
    <x v="862"/>
    <x v="862"/>
    <n v="58.97"/>
    <s v="UPI"/>
    <n v="5"/>
    <b v="0"/>
    <x v="4"/>
    <n v="4"/>
    <m/>
    <s v="Old Age"/>
  </r>
  <r>
    <s v="ORD-02654"/>
    <d v="2023-02-23T00:00:00"/>
    <s v="CUST39288"/>
    <s v="Shreya Reddy"/>
    <n v="25"/>
    <x v="0"/>
    <x v="3"/>
    <s v="Bhubaneswar"/>
    <x v="1"/>
    <x v="41"/>
    <n v="5"/>
    <n v="259.07"/>
    <n v="0.02"/>
    <x v="863"/>
    <x v="863"/>
    <n v="91.02"/>
    <s v="UPI"/>
    <n v="5"/>
    <b v="0"/>
    <x v="1"/>
    <n v="9"/>
    <m/>
    <s v="Young Age"/>
  </r>
  <r>
    <s v="ORD-02687"/>
    <d v="2023-03-12T00:00:00"/>
    <s v="CUST74163"/>
    <s v="Sunita Gupta"/>
    <n v="24"/>
    <x v="2"/>
    <x v="0"/>
    <s v="Bhopal"/>
    <x v="4"/>
    <x v="6"/>
    <n v="3"/>
    <n v="1200.51"/>
    <n v="0.4"/>
    <x v="864"/>
    <x v="864"/>
    <n v="10.029999999999999"/>
    <s v="Debit Card"/>
    <n v="3"/>
    <b v="0"/>
    <x v="1"/>
    <n v="5"/>
    <m/>
    <s v="Young Age"/>
  </r>
  <r>
    <s v="ORD-00801"/>
    <d v="2020-12-30T00:00:00"/>
    <s v="CUST09674"/>
    <s v="Rohan Shah"/>
    <n v="20"/>
    <x v="1"/>
    <x v="1"/>
    <s v="Mumbai"/>
    <x v="4"/>
    <x v="12"/>
    <n v="4"/>
    <n v="3596.85"/>
    <n v="0.25"/>
    <x v="865"/>
    <x v="865"/>
    <n v="61.39"/>
    <s v="Debit Card"/>
    <n v="1"/>
    <b v="1"/>
    <x v="0"/>
    <n v="7"/>
    <m/>
    <s v="Young Age"/>
  </r>
  <r>
    <s v="ORD-01572"/>
    <d v="2021-12-03T00:00:00"/>
    <s v="CUST23827"/>
    <s v="Amit Bose"/>
    <n v="24"/>
    <x v="2"/>
    <x v="0"/>
    <s v="Raipur"/>
    <x v="4"/>
    <x v="16"/>
    <n v="7"/>
    <n v="2400.11"/>
    <n v="0.15"/>
    <x v="866"/>
    <x v="866"/>
    <n v="55.43"/>
    <s v="UPI"/>
    <n v="2"/>
    <b v="0"/>
    <x v="1"/>
    <n v="10"/>
    <m/>
    <s v="Young Age"/>
  </r>
  <r>
    <s v="ORD-04141"/>
    <d v="2024-12-04T00:00:00"/>
    <s v="CUST72168"/>
    <s v="Shreya Bhat"/>
    <s v="N/A"/>
    <x v="1"/>
    <x v="0"/>
    <s v="Nagpur"/>
    <x v="0"/>
    <x v="0"/>
    <n v="4"/>
    <n v="242.65"/>
    <n v="0"/>
    <x v="867"/>
    <x v="867"/>
    <n v="48.21"/>
    <s v="Net Banking"/>
    <n v="1"/>
    <b v="1"/>
    <x v="0"/>
    <n v="1"/>
    <m/>
    <s v="Old Age"/>
  </r>
  <r>
    <s v="ORD-02756"/>
    <d v="2023-08-04T00:00:00"/>
    <s v="CUST40199"/>
    <s v="Arjun Gupta"/>
    <n v="33"/>
    <x v="1"/>
    <x v="1"/>
    <s v="Pune"/>
    <x v="4"/>
    <x v="12"/>
    <n v="3"/>
    <n v="2494.29"/>
    <n v="0.1"/>
    <x v="868"/>
    <x v="868"/>
    <n v="54.2"/>
    <s v="Cash on Delivery"/>
    <n v="3"/>
    <b v="0"/>
    <x v="1"/>
    <n v="8"/>
    <m/>
    <s v="Mid Age"/>
  </r>
  <r>
    <s v="ORD-00091"/>
    <d v="2020-02-05T00:00:00"/>
    <s v="CUST57456"/>
    <s v="Sanjay Chatterjee"/>
    <n v="16"/>
    <x v="2"/>
    <x v="1"/>
    <s v="Mumbai"/>
    <x v="2"/>
    <x v="13"/>
    <n v="2"/>
    <n v="23012.97"/>
    <n v="0.03"/>
    <x v="869"/>
    <x v="869"/>
    <n v="60.46"/>
    <s v="Debit Card"/>
    <n v="5"/>
    <b v="0"/>
    <x v="1"/>
    <n v="9"/>
    <m/>
    <s v="Young Age"/>
  </r>
  <r>
    <s v="ORD-03626"/>
    <d v="2024-04-26T00:00:00"/>
    <s v="CUST12779"/>
    <s v="Vikram Shah"/>
    <n v="25"/>
    <x v="2"/>
    <x v="3"/>
    <s v="Bhubaneswar"/>
    <x v="5"/>
    <x v="25"/>
    <n v="2"/>
    <n v="36881.480000000003"/>
    <n v="0.01"/>
    <x v="870"/>
    <x v="870"/>
    <n v="67.63"/>
    <s v="EMI"/>
    <n v="4"/>
    <b v="0"/>
    <x v="1"/>
    <n v="8"/>
    <m/>
    <s v="Young Age"/>
  </r>
  <r>
    <s v="ORD-03798"/>
    <d v="2024-07-09T00:00:00"/>
    <s v="CUST41603"/>
    <s v="Nisha Sharma"/>
    <n v="41"/>
    <x v="1"/>
    <x v="4"/>
    <s v="Kochi"/>
    <x v="6"/>
    <x v="38"/>
    <n v="4"/>
    <n v="4528.8999999999996"/>
    <n v="0.09"/>
    <x v="871"/>
    <x v="871"/>
    <n v="79.89"/>
    <s v="Credit Card"/>
    <n v="1"/>
    <b v="0"/>
    <x v="1"/>
    <s v="N/A"/>
    <m/>
    <s v="Old Age"/>
  </r>
  <r>
    <s v="ORD-00207"/>
    <d v="2020-04-01T00:00:00"/>
    <s v="CUST97019"/>
    <s v="Nikhil Mehta"/>
    <n v="31"/>
    <x v="1"/>
    <x v="2"/>
    <s v="Chandigarh"/>
    <x v="1"/>
    <x v="41"/>
    <n v="4"/>
    <n v="2105.61"/>
    <n v="0.37"/>
    <x v="872"/>
    <x v="872"/>
    <n v="70.930000000000007"/>
    <s v="UPI"/>
    <n v="4"/>
    <b v="0"/>
    <x v="1"/>
    <n v="6"/>
    <m/>
    <s v="Mid Age"/>
  </r>
  <r>
    <s v="ORD-03929"/>
    <d v="2024-08-23T00:00:00"/>
    <s v="CUST39906"/>
    <s v="Sunita Iyer"/>
    <n v="33"/>
    <x v="1"/>
    <x v="4"/>
    <s v="Chennai"/>
    <x v="3"/>
    <x v="30"/>
    <n v="1"/>
    <n v="1473.01"/>
    <n v="0.35"/>
    <x v="873"/>
    <x v="873"/>
    <n v="72.78"/>
    <s v="UPI"/>
    <n v="3"/>
    <b v="0"/>
    <x v="1"/>
    <n v="1"/>
    <m/>
    <s v="Mid Age"/>
  </r>
  <r>
    <s v="ORD-00686"/>
    <d v="2020-11-07T00:00:00"/>
    <s v="CUST38079"/>
    <s v="Aarav Joshi"/>
    <n v="23"/>
    <x v="2"/>
    <x v="0"/>
    <s v="Bhopal"/>
    <x v="3"/>
    <x v="11"/>
    <n v="2"/>
    <n v="1020.32"/>
    <n v="0.39"/>
    <x v="874"/>
    <x v="874"/>
    <n v="35.61"/>
    <s v="Debit Card"/>
    <n v="4"/>
    <b v="0"/>
    <x v="1"/>
    <n v="5"/>
    <m/>
    <s v="Young Age"/>
  </r>
  <r>
    <s v="ORD-00029"/>
    <d v="2020-01-11T00:00:00"/>
    <s v="CUST78062"/>
    <s v="Arjun Bhat"/>
    <n v="29"/>
    <x v="0"/>
    <x v="1"/>
    <s v="Ahmedabad"/>
    <x v="4"/>
    <x v="26"/>
    <n v="8"/>
    <n v="2738.08"/>
    <n v="0.04"/>
    <x v="875"/>
    <x v="875"/>
    <n v="61.16"/>
    <s v="Debit Card"/>
    <n v="1"/>
    <b v="0"/>
    <x v="1"/>
    <n v="9"/>
    <m/>
    <s v="Mid Age"/>
  </r>
  <r>
    <s v="ORD-01666"/>
    <d v="2022-01-13T00:00:00"/>
    <s v="CUST87705"/>
    <s v="Aditya Iyer"/>
    <n v="35"/>
    <x v="0"/>
    <x v="2"/>
    <s v="Ludhiana"/>
    <x v="5"/>
    <x v="25"/>
    <n v="5"/>
    <n v="49380.11"/>
    <n v="0.26"/>
    <x v="876"/>
    <x v="876"/>
    <n v="62.16"/>
    <s v="Net Banking"/>
    <n v="2"/>
    <b v="0"/>
    <x v="1"/>
    <n v="8"/>
    <m/>
    <s v="Mid Age"/>
  </r>
  <r>
    <s v="ORD-00265"/>
    <d v="2020-04-26T00:00:00"/>
    <s v="CUST32861"/>
    <s v="Priya Joshi"/>
    <n v="36"/>
    <x v="0"/>
    <x v="3"/>
    <s v="Guwahati"/>
    <x v="6"/>
    <x v="22"/>
    <n v="9"/>
    <n v="12444.32"/>
    <n v="0.12"/>
    <x v="877"/>
    <x v="877"/>
    <n v="90.94"/>
    <s v="UPI"/>
    <n v="4"/>
    <b v="0"/>
    <x v="3"/>
    <n v="9"/>
    <m/>
    <s v="Mid Age"/>
  </r>
  <r>
    <s v="ORD-03060"/>
    <d v="2023-08-17T00:00:00"/>
    <s v="CUST71865"/>
    <s v="Amit Singh"/>
    <n v="19"/>
    <x v="2"/>
    <x v="0"/>
    <s v="Bhopal"/>
    <x v="1"/>
    <x v="41"/>
    <n v="7"/>
    <n v="100.31"/>
    <n v="0.36"/>
    <x v="878"/>
    <x v="878"/>
    <n v="67.27"/>
    <s v="Debit Card"/>
    <n v="1"/>
    <b v="0"/>
    <x v="4"/>
    <n v="9"/>
    <m/>
    <s v="Young Age"/>
  </r>
  <r>
    <s v="ORD-03843"/>
    <d v="2024-07-29T00:00:00"/>
    <s v="CUST47635"/>
    <s v="Rahul Pillai"/>
    <n v="34"/>
    <x v="1"/>
    <x v="2"/>
    <s v="Delhi"/>
    <x v="6"/>
    <x v="38"/>
    <n v="7"/>
    <n v="9729.83"/>
    <n v="0"/>
    <x v="879"/>
    <x v="879"/>
    <n v="66.099999999999994"/>
    <s v="Debit Card"/>
    <n v="5"/>
    <b v="1"/>
    <x v="0"/>
    <n v="5"/>
    <m/>
    <s v="Mid Age"/>
  </r>
  <r>
    <s v="ORD-04134"/>
    <d v="2024-12-02T00:00:00"/>
    <s v="CUST52437"/>
    <s v="Rohan Kapoor"/>
    <n v="24"/>
    <x v="2"/>
    <x v="3"/>
    <s v="Patna"/>
    <x v="2"/>
    <x v="8"/>
    <n v="5"/>
    <n v="14663.57"/>
    <n v="0.39"/>
    <x v="880"/>
    <x v="880"/>
    <n v="101.24"/>
    <s v="Credit Card"/>
    <n v="4"/>
    <b v="0"/>
    <x v="1"/>
    <n v="3"/>
    <m/>
    <s v="Young Age"/>
  </r>
  <r>
    <s v="ORD-02503"/>
    <d v="2022-12-22T00:00:00"/>
    <s v="CUST96196"/>
    <s v="Pooja Singh"/>
    <n v="44"/>
    <x v="1"/>
    <x v="0"/>
    <s v="Indore"/>
    <x v="1"/>
    <x v="10"/>
    <m/>
    <n v="820.51"/>
    <n v="0"/>
    <x v="881"/>
    <x v="881"/>
    <n v="67.849999999999994"/>
    <s v="UPI"/>
    <n v="3"/>
    <b v="0"/>
    <x v="1"/>
    <n v="7"/>
    <m/>
    <s v="Old Age"/>
  </r>
  <r>
    <s v="ORD-02567"/>
    <d v="2023-01-17T00:00:00"/>
    <s v="CUST46311"/>
    <s v="Nisha Shah"/>
    <n v="21"/>
    <x v="2"/>
    <x v="2"/>
    <s v="Delhi"/>
    <x v="0"/>
    <x v="35"/>
    <n v="1"/>
    <n v="235.69"/>
    <n v="0.27"/>
    <x v="882"/>
    <x v="882"/>
    <n v="59.77"/>
    <s v="EMI"/>
    <n v="5"/>
    <b v="0"/>
    <x v="1"/>
    <n v="3"/>
    <m/>
    <s v="Young Age"/>
  </r>
  <r>
    <s v="ORD-02961"/>
    <d v="2023-07-06T00:00:00"/>
    <s v="CUST02626"/>
    <s v="Arjun Rao"/>
    <n v="58"/>
    <x v="1"/>
    <x v="2"/>
    <s v="Ludhiana"/>
    <x v="0"/>
    <x v="35"/>
    <n v="9"/>
    <n v="324.23"/>
    <n v="0.17"/>
    <x v="883"/>
    <x v="883"/>
    <n v="63.2"/>
    <s v="EMI"/>
    <s v="N/A"/>
    <b v="0"/>
    <x v="1"/>
    <s v="N/A"/>
    <m/>
    <s v="Old Age"/>
  </r>
  <r>
    <s v="ORD-00021"/>
    <d v="2020-01-08T00:00:00"/>
    <s v="CUST80727"/>
    <s v="Shreya Pillai"/>
    <n v="49"/>
    <x v="0"/>
    <x v="2"/>
    <s v="Amritsar"/>
    <x v="6"/>
    <x v="31"/>
    <n v="10"/>
    <n v="510.46"/>
    <n v="0.33"/>
    <x v="884"/>
    <x v="884"/>
    <n v="69.010000000000005"/>
    <s v="EMI"/>
    <n v="4"/>
    <b v="0"/>
    <x v="1"/>
    <n v="3"/>
    <m/>
    <s v="Old Age"/>
  </r>
  <r>
    <s v="ORD-02242"/>
    <d v="2022-09-04T00:00:00"/>
    <s v="CUST95868"/>
    <s v="Arjun Sharma"/>
    <n v="31"/>
    <x v="2"/>
    <x v="4"/>
    <s v="Chennai"/>
    <x v="2"/>
    <x v="8"/>
    <n v="8"/>
    <n v="4977.01"/>
    <n v="0.28000000000000003"/>
    <x v="885"/>
    <x v="885"/>
    <n v="84.09"/>
    <s v="UPI"/>
    <n v="4"/>
    <b v="0"/>
    <x v="1"/>
    <n v="8"/>
    <m/>
    <s v="Mid Age"/>
  </r>
  <r>
    <s v="ORD-04147"/>
    <d v="2024-12-06T00:00:00"/>
    <s v="CUST95344"/>
    <s v="Ananya Reddy"/>
    <n v="32"/>
    <x v="0"/>
    <x v="1"/>
    <s v="Surat"/>
    <x v="1"/>
    <x v="10"/>
    <n v="8"/>
    <n v="1064.92"/>
    <n v="0.37"/>
    <x v="886"/>
    <x v="886"/>
    <n v="55.05"/>
    <s v="Cash on Delivery"/>
    <n v="5"/>
    <b v="0"/>
    <x v="1"/>
    <n v="5"/>
    <m/>
    <s v="Mid Age"/>
  </r>
  <r>
    <s v="ORD-00668"/>
    <d v="2020-10-29T00:00:00"/>
    <s v="CUST19944"/>
    <s v="Kavya Mehta"/>
    <n v="21"/>
    <x v="0"/>
    <x v="1"/>
    <s v="Surat"/>
    <x v="5"/>
    <x v="15"/>
    <n v="3"/>
    <n v="14080.67"/>
    <n v="0.36"/>
    <x v="887"/>
    <x v="887"/>
    <n v="63.63"/>
    <s v="Credit Card"/>
    <n v="2"/>
    <b v="1"/>
    <x v="0"/>
    <n v="7"/>
    <m/>
    <s v="Young Age"/>
  </r>
  <r>
    <s v="ORD-02934"/>
    <d v="2023-06-27T00:00:00"/>
    <s v="CUST34229"/>
    <s v="Rahul Gupta"/>
    <n v="50"/>
    <x v="2"/>
    <x v="2"/>
    <s v="Chandigarh"/>
    <x v="6"/>
    <x v="20"/>
    <n v="9"/>
    <n v="13111.09"/>
    <n v="0.28999999999999998"/>
    <x v="888"/>
    <x v="888"/>
    <n v="62.85"/>
    <s v="Net Banking"/>
    <n v="3"/>
    <b v="0"/>
    <x v="1"/>
    <n v="9"/>
    <m/>
    <s v="Old Age"/>
  </r>
  <r>
    <s v="ORD-03448"/>
    <d v="2024-02-04T00:00:00"/>
    <s v="CUST27667"/>
    <s v="Nisha Pillai"/>
    <n v="11"/>
    <x v="0"/>
    <x v="4"/>
    <s v="Hyderabad"/>
    <x v="1"/>
    <x v="23"/>
    <n v="6"/>
    <n v="127.9"/>
    <n v="0.27"/>
    <x v="889"/>
    <x v="889"/>
    <n v="63.91"/>
    <s v="Credit Card"/>
    <n v="4"/>
    <b v="1"/>
    <x v="0"/>
    <s v="N/A"/>
    <m/>
    <s v="Young Age"/>
  </r>
  <r>
    <s v="ORD-02266"/>
    <d v="2022-09-12T00:00:00"/>
    <s v="CUST21061"/>
    <s v="Sanjay Das"/>
    <n v="23"/>
    <x v="0"/>
    <x v="1"/>
    <s v="Surat"/>
    <x v="1"/>
    <x v="41"/>
    <n v="10"/>
    <n v="767.55"/>
    <n v="0.35"/>
    <x v="890"/>
    <x v="890"/>
    <n v="45.37"/>
    <s v="Cash on Delivery"/>
    <n v="4"/>
    <b v="0"/>
    <x v="1"/>
    <n v="5"/>
    <m/>
    <s v="Young Age"/>
  </r>
  <r>
    <s v="ORD-04172"/>
    <d v="2024-12-17T00:00:00"/>
    <s v="CUST07872"/>
    <s v="Meera Rao"/>
    <n v="32"/>
    <x v="1"/>
    <x v="2"/>
    <s v="Ludhiana"/>
    <x v="1"/>
    <x v="10"/>
    <n v="5"/>
    <n v="2144.13"/>
    <n v="0.1"/>
    <x v="891"/>
    <x v="891"/>
    <n v="19.04"/>
    <s v="Debit Card"/>
    <s v="N/A"/>
    <b v="0"/>
    <x v="1"/>
    <n v="5"/>
    <m/>
    <s v="Mid Age"/>
  </r>
  <r>
    <s v="ORD-04076"/>
    <d v="2024-11-01T00:00:00"/>
    <s v="CUST95354"/>
    <s v="Aarav Nair"/>
    <n v="57"/>
    <x v="2"/>
    <x v="3"/>
    <s v="Bhubaneswar"/>
    <x v="1"/>
    <x v="10"/>
    <n v="7"/>
    <n v="680.72"/>
    <n v="0.08"/>
    <x v="892"/>
    <x v="892"/>
    <n v="71.25"/>
    <s v="Net Banking"/>
    <n v="5"/>
    <b v="0"/>
    <x v="1"/>
    <n v="2"/>
    <m/>
    <s v="Old Age"/>
  </r>
  <r>
    <s v="ORD-03563"/>
    <d v="2024-03-28T00:00:00"/>
    <s v="CUST46277"/>
    <s v="Karan Singh"/>
    <n v="30"/>
    <x v="0"/>
    <x v="1"/>
    <s v="Pune"/>
    <x v="2"/>
    <x v="13"/>
    <n v="8"/>
    <n v="32965.83"/>
    <n v="0.21"/>
    <x v="893"/>
    <x v="893"/>
    <n v="68.39"/>
    <s v="Debit Card"/>
    <n v="5"/>
    <b v="0"/>
    <x v="1"/>
    <n v="10"/>
    <m/>
    <s v="Mid Age"/>
  </r>
  <r>
    <s v="ORD-02321"/>
    <d v="2022-10-05T00:00:00"/>
    <s v="CUST59579"/>
    <s v="Aarav Mehta"/>
    <n v="47"/>
    <x v="1"/>
    <x v="0"/>
    <s v="Indore"/>
    <x v="1"/>
    <x v="23"/>
    <n v="9"/>
    <n v="2425.6799999999998"/>
    <n v="0.16"/>
    <x v="894"/>
    <x v="894"/>
    <n v="64.69"/>
    <s v="UPI"/>
    <n v="1"/>
    <b v="0"/>
    <x v="1"/>
    <n v="9"/>
    <m/>
    <s v="Old Age"/>
  </r>
  <r>
    <s v="ORD-03945"/>
    <d v="2024-08-28T00:00:00"/>
    <s v="CUST92249"/>
    <s v="Nikhil Chatterjee"/>
    <n v="36"/>
    <x v="2"/>
    <x v="4"/>
    <s v="Kochi"/>
    <x v="0"/>
    <x v="36"/>
    <n v="2"/>
    <n v="483.36"/>
    <n v="0.14000000000000001"/>
    <x v="895"/>
    <x v="895"/>
    <n v="55.77"/>
    <s v="UPI"/>
    <n v="4"/>
    <b v="0"/>
    <x v="1"/>
    <n v="8"/>
    <m/>
    <s v="Mid Age"/>
  </r>
  <r>
    <s v="ORD-04192"/>
    <d v="2024-12-27T00:00:00"/>
    <s v="CUST70453"/>
    <s v="Shreya Shah"/>
    <n v="33"/>
    <x v="1"/>
    <x v="2"/>
    <s v="Amritsar"/>
    <x v="3"/>
    <x v="30"/>
    <m/>
    <n v="616.57000000000005"/>
    <n v="0.36"/>
    <x v="896"/>
    <x v="896"/>
    <n v="35.22"/>
    <s v="UPI"/>
    <n v="4"/>
    <b v="0"/>
    <x v="2"/>
    <s v="N/A"/>
    <m/>
    <s v="Mid Age"/>
  </r>
  <r>
    <s v="ORD-01563"/>
    <d v="2021-11-30T00:00:00"/>
    <s v="CUST36817"/>
    <s v="Meera Iyer"/>
    <n v="41"/>
    <x v="0"/>
    <x v="3"/>
    <s v="Guwahati"/>
    <x v="3"/>
    <x v="5"/>
    <n v="9"/>
    <n v="433.76"/>
    <n v="0.33"/>
    <x v="897"/>
    <x v="897"/>
    <n v="97.16"/>
    <s v="EMI"/>
    <n v="4"/>
    <b v="0"/>
    <x v="3"/>
    <n v="2"/>
    <m/>
    <s v="Old Age"/>
  </r>
  <r>
    <s v="ORD-00545"/>
    <d v="2020-08-29T00:00:00"/>
    <s v="CUST34020"/>
    <s v="Kavya Iyer"/>
    <n v="19"/>
    <x v="1"/>
    <x v="3"/>
    <s v="Guwahati"/>
    <x v="5"/>
    <x v="33"/>
    <n v="3"/>
    <n v="17253.63"/>
    <n v="0.05"/>
    <x v="898"/>
    <x v="898"/>
    <n v="79.989999999999995"/>
    <s v="Net Banking"/>
    <n v="5"/>
    <b v="0"/>
    <x v="1"/>
    <n v="6"/>
    <m/>
    <s v="Young Age"/>
  </r>
  <r>
    <s v="ORD-00909"/>
    <d v="2021-02-10T00:00:00"/>
    <s v="CUST63944"/>
    <s v="Pooja Patel"/>
    <n v="23"/>
    <x v="0"/>
    <x v="1"/>
    <s v="Pune"/>
    <x v="5"/>
    <x v="39"/>
    <n v="7"/>
    <n v="60825.33"/>
    <n v="0.39"/>
    <x v="899"/>
    <x v="899"/>
    <n v="67.78"/>
    <s v="EMI"/>
    <n v="1"/>
    <b v="0"/>
    <x v="1"/>
    <n v="8"/>
    <m/>
    <s v="Young Age"/>
  </r>
  <r>
    <s v="ORD-03437"/>
    <d v="2024-01-30T00:00:00"/>
    <s v="CUST14095"/>
    <s v="Kavya Shah"/>
    <n v="24"/>
    <x v="2"/>
    <x v="3"/>
    <s v="Guwahati"/>
    <x v="1"/>
    <x v="1"/>
    <n v="8"/>
    <n v="1335.64"/>
    <n v="0.27"/>
    <x v="900"/>
    <x v="900"/>
    <n v="94.12"/>
    <s v="Net Banking"/>
    <n v="1"/>
    <b v="0"/>
    <x v="4"/>
    <n v="6"/>
    <m/>
    <s v="Young Age"/>
  </r>
  <r>
    <s v="ORD-02631"/>
    <d v="2023-02-15T00:00:00"/>
    <s v="CUST32596"/>
    <s v="Rahul Iyer"/>
    <n v="27"/>
    <x v="2"/>
    <x v="1"/>
    <s v="Surat"/>
    <x v="4"/>
    <x v="14"/>
    <n v="7"/>
    <n v="668.17"/>
    <n v="0.09"/>
    <x v="901"/>
    <x v="901"/>
    <n v="38.590000000000003"/>
    <s v="UPI"/>
    <n v="5"/>
    <b v="0"/>
    <x v="1"/>
    <n v="8"/>
    <m/>
    <s v="Mid Age"/>
  </r>
  <r>
    <s v="ORD-00414"/>
    <d v="2020-07-01T00:00:00"/>
    <s v="CUST38493"/>
    <s v="Arjun Iyer"/>
    <n v="30"/>
    <x v="0"/>
    <x v="3"/>
    <s v="Bhubaneswar"/>
    <x v="1"/>
    <x v="37"/>
    <n v="0"/>
    <n v="1076.68"/>
    <n v="0.32"/>
    <x v="902"/>
    <x v="902"/>
    <n v="72.7"/>
    <s v="Debit Card"/>
    <s v="N/A"/>
    <b v="0"/>
    <x v="3"/>
    <n v="8"/>
    <m/>
    <s v="Mid Age"/>
  </r>
  <r>
    <s v="ORD-00525"/>
    <d v="2020-08-20T00:00:00"/>
    <s v="CUST73074"/>
    <s v="Rohan Mehta"/>
    <n v="33"/>
    <x v="2"/>
    <x v="4"/>
    <s v="Hyderabad"/>
    <x v="4"/>
    <x v="16"/>
    <n v="1"/>
    <n v="392.55"/>
    <n v="7.0000000000000007E-2"/>
    <x v="903"/>
    <x v="903"/>
    <n v="71.09"/>
    <s v="Credit Card"/>
    <n v="5"/>
    <b v="0"/>
    <x v="2"/>
    <n v="4"/>
    <m/>
    <s v="Mid Age"/>
  </r>
  <r>
    <s v="ORD-03521"/>
    <d v="2024-03-09T00:00:00"/>
    <s v="CUST00084"/>
    <s v="Rohan Das"/>
    <n v="16"/>
    <x v="1"/>
    <x v="3"/>
    <s v="Kolkata"/>
    <x v="6"/>
    <x v="18"/>
    <n v="4"/>
    <n v="14904.61"/>
    <n v="0"/>
    <x v="904"/>
    <x v="904"/>
    <n v="74"/>
    <s v="UPI"/>
    <n v="3"/>
    <b v="0"/>
    <x v="2"/>
    <n v="9"/>
    <m/>
    <s v="Young Age"/>
  </r>
  <r>
    <s v="ORD-01849"/>
    <d v="2022-03-29T00:00:00"/>
    <s v="CUST56391"/>
    <s v="Meera Kumar"/>
    <n v="40"/>
    <x v="0"/>
    <x v="4"/>
    <s v="Kochi"/>
    <x v="4"/>
    <x v="26"/>
    <n v="5"/>
    <n v="3481.04"/>
    <n v="0.35"/>
    <x v="905"/>
    <x v="905"/>
    <n v="56.53"/>
    <s v="Credit Card"/>
    <s v="N/A"/>
    <b v="0"/>
    <x v="3"/>
    <n v="8"/>
    <m/>
    <s v="Mid Age"/>
  </r>
  <r>
    <s v="ORD-02703"/>
    <d v="2023-03-16T00:00:00"/>
    <s v="CUST53601"/>
    <s v="Rohan Iyer"/>
    <n v="35"/>
    <x v="0"/>
    <x v="0"/>
    <s v="Indore"/>
    <x v="3"/>
    <x v="11"/>
    <n v="8"/>
    <n v="600.71"/>
    <n v="0.17"/>
    <x v="906"/>
    <x v="906"/>
    <n v="24.97"/>
    <s v="Debit Card"/>
    <n v="1"/>
    <b v="0"/>
    <x v="1"/>
    <n v="9"/>
    <m/>
    <s v="Mid Age"/>
  </r>
  <r>
    <s v="ORD-04083"/>
    <d v="2024-11-06T00:00:00"/>
    <s v="CUST32744"/>
    <s v="Aditya Shah"/>
    <n v="37"/>
    <x v="1"/>
    <x v="0"/>
    <s v="Raipur"/>
    <x v="2"/>
    <x v="8"/>
    <n v="5"/>
    <n v="2536.86"/>
    <n v="0.36"/>
    <x v="907"/>
    <x v="907"/>
    <n v="68.13"/>
    <s v="Debit Card"/>
    <n v="2"/>
    <b v="0"/>
    <x v="3"/>
    <n v="7"/>
    <m/>
    <s v="Mid Age"/>
  </r>
  <r>
    <s v="ORD-00573"/>
    <d v="2020-09-12T00:00:00"/>
    <s v="CUST93696"/>
    <s v="Amit Gupta"/>
    <n v="42"/>
    <x v="0"/>
    <x v="3"/>
    <s v="Kolkata"/>
    <x v="4"/>
    <x v="26"/>
    <n v="3"/>
    <n v="3089.43"/>
    <n v="0.09"/>
    <x v="908"/>
    <x v="908"/>
    <n v="82.77"/>
    <s v="Credit Card"/>
    <s v="N/A"/>
    <b v="1"/>
    <x v="0"/>
    <n v="6"/>
    <m/>
    <s v="Old Age"/>
  </r>
  <r>
    <s v="ORD-03306"/>
    <d v="2023-12-01T00:00:00"/>
    <s v="CUST91195"/>
    <s v="Vikram Sharma"/>
    <n v="24"/>
    <x v="1"/>
    <x v="3"/>
    <s v="Bhubaneswar"/>
    <x v="0"/>
    <x v="9"/>
    <n v="4"/>
    <n v="206.91"/>
    <n v="0.2"/>
    <x v="909"/>
    <x v="909"/>
    <n v="52.38"/>
    <s v="Debit Card"/>
    <s v="N/A"/>
    <b v="0"/>
    <x v="1"/>
    <n v="2"/>
    <m/>
    <s v="Young Age"/>
  </r>
  <r>
    <s v="ORD-02199"/>
    <d v="2022-08-16T00:00:00"/>
    <s v="CUST65100"/>
    <s v="Priya Patel"/>
    <n v="41"/>
    <x v="2"/>
    <x v="3"/>
    <s v="Kolkata"/>
    <x v="3"/>
    <x v="30"/>
    <n v="2"/>
    <n v="244.36"/>
    <n v="0.12"/>
    <x v="910"/>
    <x v="910"/>
    <n v="79.16"/>
    <s v="Cash on Delivery"/>
    <n v="2"/>
    <b v="0"/>
    <x v="2"/>
    <n v="2"/>
    <m/>
    <s v="Old Age"/>
  </r>
  <r>
    <s v="ORD-00402"/>
    <d v="2020-06-21T00:00:00"/>
    <s v="CUST55018"/>
    <s v="Vikram Nair"/>
    <n v="37"/>
    <x v="0"/>
    <x v="4"/>
    <s v="Chennai"/>
    <x v="5"/>
    <x v="17"/>
    <n v="5"/>
    <n v="28892.57"/>
    <n v="7.0000000000000007E-2"/>
    <x v="84"/>
    <x v="84"/>
    <n v="84.72"/>
    <s v="Debit Card"/>
    <n v="5"/>
    <b v="0"/>
    <x v="1"/>
    <n v="6"/>
    <m/>
    <s v="Mid Age"/>
  </r>
  <r>
    <s v="ORD-00901"/>
    <d v="2021-02-08T00:00:00"/>
    <s v="CUST88807"/>
    <s v="Sanjay Kapoor"/>
    <n v="30"/>
    <x v="1"/>
    <x v="1"/>
    <s v="Ahmedabad"/>
    <x v="3"/>
    <x v="30"/>
    <n v="2"/>
    <n v="583.34"/>
    <n v="0.24"/>
    <x v="911"/>
    <x v="911"/>
    <n v="72.31"/>
    <s v="Cash on Delivery"/>
    <n v="5"/>
    <b v="0"/>
    <x v="1"/>
    <n v="5"/>
    <m/>
    <s v="Mid Age"/>
  </r>
  <r>
    <s v="ORD-04149"/>
    <d v="2024-12-07T00:00:00"/>
    <s v="CUST54782"/>
    <s v="Karan Verma"/>
    <n v="37"/>
    <x v="2"/>
    <x v="0"/>
    <s v="Indore"/>
    <x v="3"/>
    <x v="32"/>
    <n v="8"/>
    <n v="519.04999999999995"/>
    <n v="0.33"/>
    <x v="912"/>
    <x v="912"/>
    <n v="51.28"/>
    <s v="Debit Card"/>
    <n v="2"/>
    <b v="0"/>
    <x v="1"/>
    <n v="10"/>
    <m/>
    <s v="Mid Age"/>
  </r>
  <r>
    <s v="ORD-00638"/>
    <d v="2020-12-10T00:00:00"/>
    <s v="CUST17767"/>
    <s v="Meera Chatterjee"/>
    <n v="37"/>
    <x v="2"/>
    <x v="3"/>
    <s v="Patna"/>
    <x v="5"/>
    <x v="33"/>
    <n v="10"/>
    <n v="23990.02"/>
    <n v="0.11"/>
    <x v="913"/>
    <x v="913"/>
    <n v="73.319999999999993"/>
    <s v="Cash on Delivery"/>
    <n v="4"/>
    <b v="0"/>
    <x v="1"/>
    <n v="8"/>
    <m/>
    <s v="Mid Age"/>
  </r>
  <r>
    <s v="ORD-00010"/>
    <d v="2020-03-01T00:00:00"/>
    <s v="CUST07407"/>
    <s v="Amit Bose"/>
    <n v="26"/>
    <x v="0"/>
    <x v="4"/>
    <s v="Hyderabad"/>
    <x v="4"/>
    <x v="16"/>
    <n v="1"/>
    <n v="1792.52"/>
    <n v="0.38"/>
    <x v="914"/>
    <x v="914"/>
    <n v="69.84"/>
    <s v="EMI"/>
    <n v="4"/>
    <b v="1"/>
    <x v="0"/>
    <n v="8"/>
    <m/>
    <s v="Mid Age"/>
  </r>
  <r>
    <s v="ORD-01167"/>
    <d v="2021-06-07T00:00:00"/>
    <s v="CUST48910"/>
    <s v="Vikram Shah"/>
    <n v="14"/>
    <x v="0"/>
    <x v="1"/>
    <s v="Mumbai"/>
    <x v="2"/>
    <x v="28"/>
    <n v="5"/>
    <n v="16063.03"/>
    <n v="0.35"/>
    <x v="915"/>
    <x v="915"/>
    <n v="74.66"/>
    <s v="Net Banking"/>
    <n v="3"/>
    <b v="0"/>
    <x v="1"/>
    <n v="6"/>
    <m/>
    <s v="Young Age"/>
  </r>
  <r>
    <s v="ORD-03303"/>
    <d v="2023-11-29T00:00:00"/>
    <s v="CUST73772"/>
    <s v="Nisha Reddy"/>
    <n v="15"/>
    <x v="1"/>
    <x v="3"/>
    <s v="Kolkata"/>
    <x v="5"/>
    <x v="15"/>
    <n v="1"/>
    <n v="19475.099999999999"/>
    <n v="0.27"/>
    <x v="916"/>
    <x v="916"/>
    <n v="70.91"/>
    <s v="Net Banking"/>
    <s v="N/A"/>
    <b v="0"/>
    <x v="1"/>
    <n v="100"/>
    <m/>
    <s v="Young Age"/>
  </r>
  <r>
    <s v="ORD-02118"/>
    <d v="2022-07-22T00:00:00"/>
    <s v="CUST29628"/>
    <s v="Nisha Kapoor"/>
    <s v="N/A"/>
    <x v="1"/>
    <x v="2"/>
    <s v="Ludhiana"/>
    <x v="0"/>
    <x v="4"/>
    <n v="1"/>
    <n v="396.39"/>
    <n v="0.09"/>
    <x v="917"/>
    <x v="917"/>
    <n v="57.89"/>
    <s v="Credit Card"/>
    <n v="2"/>
    <b v="0"/>
    <x v="1"/>
    <n v="1"/>
    <m/>
    <s v="Old Age"/>
  </r>
  <r>
    <s v="ORD-00764"/>
    <d v="2020-12-12T00:00:00"/>
    <s v="CUST21423"/>
    <s v="Shreya Sharma"/>
    <n v="22"/>
    <x v="2"/>
    <x v="4"/>
    <s v="Bangalore"/>
    <x v="2"/>
    <x v="13"/>
    <n v="5"/>
    <n v="24816.99"/>
    <n v="0.02"/>
    <x v="918"/>
    <x v="918"/>
    <n v="51.05"/>
    <s v="Debit Card"/>
    <s v="N/A"/>
    <b v="0"/>
    <x v="1"/>
    <n v="1"/>
    <m/>
    <s v="Young Age"/>
  </r>
  <r>
    <s v="ORD-01250"/>
    <d v="2021-07-17T00:00:00"/>
    <s v="CUST20121"/>
    <s v="Vikram Kumar"/>
    <n v="39"/>
    <x v="0"/>
    <x v="3"/>
    <s v="Patna"/>
    <x v="2"/>
    <x v="3"/>
    <n v="2"/>
    <n v="9066.85"/>
    <n v="0.3"/>
    <x v="919"/>
    <x v="919"/>
    <n v="91.56"/>
    <s v="EMI"/>
    <n v="1"/>
    <b v="0"/>
    <x v="1"/>
    <n v="9"/>
    <m/>
    <s v="Mid Age"/>
  </r>
  <r>
    <s v="ORD-01550"/>
    <d v="2021-11-27T00:00:00"/>
    <s v="CUST66901"/>
    <s v="Nisha Kapoor"/>
    <n v="35"/>
    <x v="2"/>
    <x v="1"/>
    <s v="Mumbai"/>
    <x v="6"/>
    <x v="20"/>
    <n v="9"/>
    <n v="13211.32"/>
    <n v="0.17"/>
    <x v="920"/>
    <x v="920"/>
    <n v="52.32"/>
    <s v="UPI"/>
    <n v="3"/>
    <b v="0"/>
    <x v="1"/>
    <n v="5"/>
    <m/>
    <s v="Mid Age"/>
  </r>
  <r>
    <s v="ORD-03192"/>
    <d v="2023-10-14T00:00:00"/>
    <s v="CUST23779"/>
    <s v="Priya Singh"/>
    <n v="39"/>
    <x v="1"/>
    <x v="2"/>
    <s v="Ludhiana"/>
    <x v="6"/>
    <x v="20"/>
    <n v="9"/>
    <n v="9769.82"/>
    <n v="0.32"/>
    <x v="921"/>
    <x v="921"/>
    <n v="50.8"/>
    <s v="Net Banking"/>
    <n v="4"/>
    <b v="0"/>
    <x v="1"/>
    <n v="6"/>
    <m/>
    <s v="Mid Age"/>
  </r>
  <r>
    <s v="ORD-01356"/>
    <d v="2021-09-03T00:00:00"/>
    <s v="CUST36316"/>
    <s v="Amit Rao"/>
    <n v="44"/>
    <x v="0"/>
    <x v="0"/>
    <s v="Nagpur"/>
    <x v="6"/>
    <x v="38"/>
    <n v="5"/>
    <n v="9013.26"/>
    <n v="0.28000000000000003"/>
    <x v="922"/>
    <x v="922"/>
    <n v="35.94"/>
    <s v="UPI"/>
    <n v="5"/>
    <b v="0"/>
    <x v="4"/>
    <n v="7"/>
    <m/>
    <s v="Old Age"/>
  </r>
  <r>
    <s v="ORD-00789"/>
    <d v="2020-12-26T00:00:00"/>
    <s v="CUST67387"/>
    <s v="Nisha Singh"/>
    <n v="41"/>
    <x v="1"/>
    <x v="2"/>
    <s v="Delhi"/>
    <x v="1"/>
    <x v="10"/>
    <n v="4"/>
    <n v="2326.66"/>
    <n v="0.09"/>
    <x v="923"/>
    <x v="923"/>
    <n v="61.42"/>
    <s v="UPI"/>
    <n v="5"/>
    <b v="0"/>
    <x v="4"/>
    <n v="10"/>
    <m/>
    <s v="Old Age"/>
  </r>
  <r>
    <s v="ORD-03113"/>
    <d v="2023-09-07T00:00:00"/>
    <s v="CUST73185"/>
    <s v="Amit Mishra"/>
    <n v="29"/>
    <x v="1"/>
    <x v="2"/>
    <s v="Ludhiana"/>
    <x v="4"/>
    <x v="12"/>
    <n v="3"/>
    <n v="3741.92"/>
    <n v="0.21"/>
    <x v="924"/>
    <x v="924"/>
    <n v="58.8"/>
    <s v="Cash on Delivery"/>
    <n v="4"/>
    <b v="0"/>
    <x v="3"/>
    <n v="1"/>
    <m/>
    <s v="Mid Age"/>
  </r>
  <r>
    <s v="ORD-02667"/>
    <d v="2023-02-28T00:00:00"/>
    <s v="CUST93637"/>
    <s v="Ananya Shah"/>
    <n v="31"/>
    <x v="2"/>
    <x v="2"/>
    <s v="Amritsar"/>
    <x v="2"/>
    <x v="24"/>
    <n v="3"/>
    <n v="4087.5"/>
    <n v="0.36"/>
    <x v="925"/>
    <x v="925"/>
    <n v="36.770000000000003"/>
    <s v="Cash on Delivery"/>
    <s v="N/A"/>
    <b v="0"/>
    <x v="2"/>
    <n v="9"/>
    <m/>
    <s v="Mid Age"/>
  </r>
  <r>
    <s v="ORD-03918"/>
    <d v="2024-08-20T00:00:00"/>
    <s v="CUST09195"/>
    <s v="Ritu Singh"/>
    <n v="30"/>
    <x v="1"/>
    <x v="0"/>
    <s v="Raipur"/>
    <x v="4"/>
    <x v="26"/>
    <n v="5"/>
    <n v="1293.07"/>
    <n v="0.37"/>
    <x v="926"/>
    <x v="926"/>
    <n v="34.43"/>
    <s v="UPI"/>
    <n v="4"/>
    <b v="0"/>
    <x v="1"/>
    <n v="9"/>
    <m/>
    <s v="Mid Age"/>
  </r>
  <r>
    <s v="ORD-02469"/>
    <d v="2022-12-06T00:00:00"/>
    <s v="CUST77482"/>
    <s v="Ritu Mishra"/>
    <n v="0"/>
    <x v="2"/>
    <x v="2"/>
    <s v="Chandigarh"/>
    <x v="3"/>
    <x v="11"/>
    <n v="2"/>
    <n v="393.2"/>
    <n v="0.22"/>
    <x v="927"/>
    <x v="927"/>
    <n v="48.93"/>
    <s v="Cash on Delivery"/>
    <s v="N/A"/>
    <b v="1"/>
    <x v="0"/>
    <n v="4"/>
    <m/>
    <s v="Young Age"/>
  </r>
  <r>
    <s v="ORD-00305"/>
    <d v="2020-05-12T00:00:00"/>
    <s v="CUST10300"/>
    <s v="Vikram Joshi"/>
    <n v="35"/>
    <x v="0"/>
    <x v="3"/>
    <s v="Bhubaneswar"/>
    <x v="6"/>
    <x v="38"/>
    <n v="5"/>
    <n v="6852.57"/>
    <n v="0.19"/>
    <x v="708"/>
    <x v="708"/>
    <n v="100.86"/>
    <s v="EMI"/>
    <n v="5"/>
    <b v="0"/>
    <x v="1"/>
    <n v="10"/>
    <m/>
    <s v="Mid Age"/>
  </r>
  <r>
    <s v="ORD-00952"/>
    <d v="2021-03-07T00:00:00"/>
    <s v="CUST97126"/>
    <s v="Ananya Kumar"/>
    <n v="28"/>
    <x v="1"/>
    <x v="3"/>
    <s v="Kolkata"/>
    <x v="6"/>
    <x v="38"/>
    <n v="9"/>
    <n v="6483.35"/>
    <n v="0.23"/>
    <x v="928"/>
    <x v="928"/>
    <n v="74.83"/>
    <s v="UPI"/>
    <n v="4"/>
    <b v="0"/>
    <x v="1"/>
    <n v="2"/>
    <m/>
    <s v="Mid Age"/>
  </r>
  <r>
    <s v="ORD-03530"/>
    <d v="2024-03-14T00:00:00"/>
    <s v="CUST89097"/>
    <s v="Sanjay Shah"/>
    <n v="38"/>
    <x v="1"/>
    <x v="2"/>
    <s v="Delhi"/>
    <x v="4"/>
    <x v="16"/>
    <n v="2"/>
    <n v="1249.08"/>
    <n v="0.4"/>
    <x v="929"/>
    <x v="929"/>
    <n v="43.18"/>
    <s v="EMI"/>
    <s v="N/A"/>
    <b v="0"/>
    <x v="1"/>
    <n v="8"/>
    <m/>
    <s v="Mid Age"/>
  </r>
  <r>
    <s v="ORD-00512"/>
    <d v="2020-08-14T00:00:00"/>
    <s v="CUST98505"/>
    <s v="Shreya Das"/>
    <n v="27"/>
    <x v="2"/>
    <x v="3"/>
    <s v="Guwahati"/>
    <x v="1"/>
    <x v="29"/>
    <n v="2"/>
    <n v="1236.47"/>
    <n v="0.14000000000000001"/>
    <x v="930"/>
    <x v="930"/>
    <n v="85.88"/>
    <s v="UPI"/>
    <n v="3"/>
    <b v="0"/>
    <x v="1"/>
    <n v="8"/>
    <m/>
    <s v="Mid Age"/>
  </r>
  <r>
    <s v="ORD-01236"/>
    <d v="2021-07-12T00:00:00"/>
    <s v="CUST30009"/>
    <s v="Vikram Kapoor"/>
    <n v="30"/>
    <x v="1"/>
    <x v="1"/>
    <s v="Ahmedabad"/>
    <x v="1"/>
    <x v="41"/>
    <n v="7"/>
    <n v="1236.43"/>
    <n v="0.04"/>
    <x v="931"/>
    <x v="931"/>
    <n v="72.78"/>
    <s v="Debit Card"/>
    <n v="2"/>
    <b v="0"/>
    <x v="1"/>
    <n v="7"/>
    <m/>
    <s v="Mid Age"/>
  </r>
  <r>
    <s v="ORD-01618"/>
    <d v="2021-12-25T00:00:00"/>
    <s v="CUST82777"/>
    <s v="Rahul Singh"/>
    <n v="53"/>
    <x v="2"/>
    <x v="1"/>
    <s v="Mumbai"/>
    <x v="6"/>
    <x v="18"/>
    <n v="5"/>
    <n v="7179.94"/>
    <n v="0.31"/>
    <x v="932"/>
    <x v="932"/>
    <n v="65.86"/>
    <s v="Debit Card"/>
    <n v="2"/>
    <b v="0"/>
    <x v="1"/>
    <n v="8"/>
    <m/>
    <s v="Old Age"/>
  </r>
  <r>
    <s v="ORD-03286"/>
    <d v="2023-11-19T00:00:00"/>
    <s v="CUST81972"/>
    <s v="Aditya Das"/>
    <n v="32"/>
    <x v="1"/>
    <x v="3"/>
    <s v="Bhubaneswar"/>
    <x v="4"/>
    <x v="16"/>
    <n v="8"/>
    <n v="2288.2600000000002"/>
    <n v="0.22"/>
    <x v="933"/>
    <x v="933"/>
    <n v="89.83"/>
    <s v="Debit Card"/>
    <n v="2"/>
    <b v="0"/>
    <x v="1"/>
    <n v="1"/>
    <m/>
    <s v="Mid Age"/>
  </r>
  <r>
    <s v="ORD-02164"/>
    <d v="2022-08-06T00:00:00"/>
    <s v="CUST84076"/>
    <s v="Arjun Kumar"/>
    <n v="20"/>
    <x v="1"/>
    <x v="3"/>
    <s v="Guwahati"/>
    <x v="3"/>
    <x v="5"/>
    <n v="4"/>
    <n v="529.17999999999995"/>
    <n v="0.37"/>
    <x v="934"/>
    <x v="934"/>
    <n v="96.64"/>
    <s v="UPI"/>
    <n v="5"/>
    <b v="0"/>
    <x v="1"/>
    <n v="8"/>
    <m/>
    <s v="Young Age"/>
  </r>
  <r>
    <s v="ORD-03645"/>
    <d v="2024-05-04T00:00:00"/>
    <s v="CUST40711"/>
    <s v="Rohan Kapoor"/>
    <n v="33"/>
    <x v="0"/>
    <x v="0"/>
    <s v="Bhopal"/>
    <x v="0"/>
    <x v="4"/>
    <n v="4"/>
    <n v="413.23"/>
    <n v="0.16"/>
    <x v="935"/>
    <x v="935"/>
    <n v="29.46"/>
    <s v="EMI"/>
    <n v="4"/>
    <b v="0"/>
    <x v="1"/>
    <n v="9"/>
    <m/>
    <s v="Mid Age"/>
  </r>
  <r>
    <s v="ORD-01602"/>
    <d v="2021-12-15T00:00:00"/>
    <s v="CUST98061"/>
    <s v="Amit Verma"/>
    <n v="41"/>
    <x v="0"/>
    <x v="3"/>
    <s v="Guwahati"/>
    <x v="0"/>
    <x v="35"/>
    <n v="5"/>
    <n v="273.75"/>
    <n v="0.05"/>
    <x v="936"/>
    <x v="936"/>
    <n v="81.92"/>
    <s v="Debit Card"/>
    <n v="1"/>
    <b v="0"/>
    <x v="1"/>
    <n v="5"/>
    <m/>
    <s v="Old Age"/>
  </r>
  <r>
    <s v="ORD-02308"/>
    <d v="2022-09-30T00:00:00"/>
    <s v="CUST13492"/>
    <s v="Karan Reddy"/>
    <n v="35"/>
    <x v="2"/>
    <x v="2"/>
    <s v="Delhi"/>
    <x v="3"/>
    <x v="5"/>
    <n v="4"/>
    <n v="288.41000000000003"/>
    <n v="0.11"/>
    <x v="937"/>
    <x v="937"/>
    <n v="39.44"/>
    <s v="Debit Card"/>
    <n v="5"/>
    <b v="1"/>
    <x v="0"/>
    <n v="1"/>
    <m/>
    <s v="Mid Age"/>
  </r>
  <r>
    <s v="ORD-03457"/>
    <d v="2024-02-08T00:00:00"/>
    <s v="CUST62784"/>
    <s v="Ananya Patel"/>
    <n v="27"/>
    <x v="1"/>
    <x v="3"/>
    <s v="Kolkata"/>
    <x v="3"/>
    <x v="11"/>
    <n v="5"/>
    <n v="219.86"/>
    <n v="0.26"/>
    <x v="938"/>
    <x v="938"/>
    <n v="95.23"/>
    <s v="Cash on Delivery"/>
    <n v="1"/>
    <b v="0"/>
    <x v="1"/>
    <n v="10"/>
    <m/>
    <s v="Mid Age"/>
  </r>
  <r>
    <s v="ORD-03725"/>
    <d v="2024-06-13T00:00:00"/>
    <s v="CUST34762"/>
    <s v="Aditya Sharma"/>
    <n v="51"/>
    <x v="1"/>
    <x v="3"/>
    <s v="Guwahati"/>
    <x v="5"/>
    <x v="17"/>
    <n v="3"/>
    <n v="45977.54"/>
    <n v="0.4"/>
    <x v="939"/>
    <x v="939"/>
    <n v="89.69"/>
    <s v="Cash on Delivery"/>
    <n v="5"/>
    <b v="0"/>
    <x v="1"/>
    <n v="9"/>
    <m/>
    <s v="Old Age"/>
  </r>
  <r>
    <s v="ORD-00240"/>
    <d v="2020-04-14T00:00:00"/>
    <s v="CUST66088"/>
    <s v="Shreya Pillai"/>
    <n v="18"/>
    <x v="0"/>
    <x v="4"/>
    <s v="Bangalore"/>
    <x v="6"/>
    <x v="18"/>
    <n v="4"/>
    <n v="11868.91"/>
    <n v="0.19"/>
    <x v="940"/>
    <x v="940"/>
    <n v="70.61"/>
    <s v="EMI"/>
    <n v="3"/>
    <b v="0"/>
    <x v="1"/>
    <n v="6"/>
    <m/>
    <s v="Young Age"/>
  </r>
  <r>
    <s v="ORD-01538"/>
    <d v="2021-11-20T00:00:00"/>
    <s v="CUST30276"/>
    <s v="Amit Reddy"/>
    <n v="20"/>
    <x v="0"/>
    <x v="3"/>
    <s v="Guwahati"/>
    <x v="5"/>
    <x v="39"/>
    <n v="8"/>
    <n v="72878.210000000006"/>
    <n v="0.06"/>
    <x v="941"/>
    <x v="941"/>
    <n v="69.63"/>
    <s v="Credit Card"/>
    <n v="3"/>
    <b v="0"/>
    <x v="1"/>
    <n v="7"/>
    <m/>
    <s v="Young Age"/>
  </r>
  <r>
    <s v="ORD-00246"/>
    <d v="2020-04-18T00:00:00"/>
    <s v="CUST40327"/>
    <s v="Shreya Mishra"/>
    <n v="60"/>
    <x v="1"/>
    <x v="0"/>
    <s v="Nagpur"/>
    <x v="1"/>
    <x v="1"/>
    <n v="8"/>
    <n v="336.17"/>
    <n v="0.18"/>
    <x v="942"/>
    <x v="942"/>
    <n v="63.3"/>
    <s v="Debit Card"/>
    <n v="4"/>
    <b v="0"/>
    <x v="1"/>
    <n v="10"/>
    <m/>
    <s v="Old Age"/>
  </r>
  <r>
    <s v="ORD-00069"/>
    <d v="2020-01-26T00:00:00"/>
    <s v="CUST27522"/>
    <s v="Deepa Chatterjee"/>
    <n v="24"/>
    <x v="0"/>
    <x v="3"/>
    <s v="Bhubaneswar"/>
    <x v="6"/>
    <x v="20"/>
    <m/>
    <n v="5929.85"/>
    <n v="0"/>
    <x v="943"/>
    <x v="943"/>
    <n v="78.48"/>
    <s v="Credit Card"/>
    <n v="5"/>
    <b v="0"/>
    <x v="1"/>
    <n v="7"/>
    <m/>
    <s v="Young Age"/>
  </r>
  <r>
    <s v="ORD-01653"/>
    <d v="2022-01-07T00:00:00"/>
    <s v="CUST39228"/>
    <s v="Pooja Gupta"/>
    <n v="38"/>
    <x v="2"/>
    <x v="4"/>
    <s v="Chennai"/>
    <x v="5"/>
    <x v="15"/>
    <n v="5"/>
    <n v="67069.95"/>
    <n v="0.35"/>
    <x v="944"/>
    <x v="944"/>
    <n v="53.96"/>
    <s v="EMI"/>
    <n v="2"/>
    <b v="0"/>
    <x v="2"/>
    <n v="6"/>
    <m/>
    <s v="Mid Age"/>
  </r>
  <r>
    <s v="ORD-00549"/>
    <d v="2020-08-31T00:00:00"/>
    <s v="CUST39184"/>
    <s v="Arjun Nair"/>
    <n v="27"/>
    <x v="0"/>
    <x v="3"/>
    <s v="Guwahati"/>
    <x v="0"/>
    <x v="0"/>
    <n v="1"/>
    <n v="295.3"/>
    <n v="0.1"/>
    <x v="945"/>
    <x v="945"/>
    <n v="91.95"/>
    <s v="Credit Card"/>
    <n v="5"/>
    <b v="0"/>
    <x v="1"/>
    <n v="9"/>
    <m/>
    <s v="Mid Age"/>
  </r>
  <r>
    <s v="ORD-04125"/>
    <d v="2024-11-29T00:00:00"/>
    <s v="CUST69485"/>
    <s v="Pooja Verma"/>
    <n v="15"/>
    <x v="1"/>
    <x v="3"/>
    <s v="Kolkata"/>
    <x v="5"/>
    <x v="15"/>
    <n v="5"/>
    <n v="60589.34"/>
    <n v="0"/>
    <x v="946"/>
    <x v="946"/>
    <n v="117.75"/>
    <s v="Cash on Delivery"/>
    <n v="1"/>
    <b v="0"/>
    <x v="1"/>
    <n v="6"/>
    <m/>
    <s v="Young Age"/>
  </r>
  <r>
    <s v="ORD-02531"/>
    <d v="2023-01-03T00:00:00"/>
    <s v="CUST65173"/>
    <s v="Sunita Reddy"/>
    <n v="24"/>
    <x v="1"/>
    <x v="2"/>
    <s v="Ludhiana"/>
    <x v="1"/>
    <x v="29"/>
    <n v="9"/>
    <n v="2041.21"/>
    <n v="0.22"/>
    <x v="947"/>
    <x v="947"/>
    <n v="45.75"/>
    <s v="Net Banking"/>
    <n v="3"/>
    <b v="0"/>
    <x v="3"/>
    <n v="1"/>
    <m/>
    <s v="Young Age"/>
  </r>
  <r>
    <s v="ORD-01426"/>
    <d v="2021-10-05T00:00:00"/>
    <s v="CUST08147"/>
    <s v="Nikhil Shah"/>
    <n v="58"/>
    <x v="1"/>
    <x v="2"/>
    <s v="Delhi"/>
    <x v="4"/>
    <x v="14"/>
    <n v="2"/>
    <n v="469.65"/>
    <n v="0.12"/>
    <x v="948"/>
    <x v="948"/>
    <n v="32.03"/>
    <s v="Cash on Delivery"/>
    <n v="1"/>
    <b v="1"/>
    <x v="0"/>
    <n v="3"/>
    <m/>
    <s v="Old Age"/>
  </r>
  <r>
    <s v="ORD-03919"/>
    <d v="2024-08-20T00:00:00"/>
    <s v="CUST18468"/>
    <s v="Nikhil Shah"/>
    <s v="N/A"/>
    <x v="0"/>
    <x v="4"/>
    <s v="Kochi"/>
    <x v="0"/>
    <x v="4"/>
    <n v="3"/>
    <n v="408.26"/>
    <n v="0.03"/>
    <x v="949"/>
    <x v="949"/>
    <n v="70.48"/>
    <s v="Cash on Delivery"/>
    <n v="4"/>
    <b v="0"/>
    <x v="1"/>
    <n v="1"/>
    <m/>
    <s v="Old Age"/>
  </r>
  <r>
    <s v="ORD-03686"/>
    <d v="2024-05-19T00:00:00"/>
    <s v="CUST39920"/>
    <s v="Rahul Pillai"/>
    <n v="45"/>
    <x v="1"/>
    <x v="0"/>
    <s v="Indore"/>
    <x v="6"/>
    <x v="18"/>
    <n v="1"/>
    <n v="9074.17"/>
    <n v="0.08"/>
    <x v="950"/>
    <x v="950"/>
    <n v="43.12"/>
    <s v="EMI"/>
    <n v="4"/>
    <b v="0"/>
    <x v="1"/>
    <n v="9"/>
    <m/>
    <s v="Old Age"/>
  </r>
  <r>
    <s v="ORD-01694"/>
    <d v="2022-01-26T00:00:00"/>
    <s v="CUST30040"/>
    <s v="Karan Kumar"/>
    <n v="24"/>
    <x v="0"/>
    <x v="1"/>
    <s v="Ahmedabad"/>
    <x v="5"/>
    <x v="15"/>
    <n v="4"/>
    <n v="30494.73"/>
    <n v="0.39"/>
    <x v="951"/>
    <x v="951"/>
    <n v="53.6"/>
    <s v="Debit Card"/>
    <n v="2"/>
    <b v="0"/>
    <x v="1"/>
    <n v="4"/>
    <m/>
    <s v="Young Age"/>
  </r>
  <r>
    <s v="ORD-01035"/>
    <s v="14/04/2021"/>
    <s v="CUST49938"/>
    <s v="Rahul Sharma"/>
    <n v="38"/>
    <x v="0"/>
    <x v="2"/>
    <s v="Delhi"/>
    <x v="2"/>
    <x v="2"/>
    <n v="7"/>
    <n v="31419.94"/>
    <n v="0.05"/>
    <x v="952"/>
    <x v="952"/>
    <n v="36.96"/>
    <s v="Debit Card"/>
    <n v="5"/>
    <b v="0"/>
    <x v="1"/>
    <n v="5"/>
    <m/>
    <s v="Mid Age"/>
  </r>
  <r>
    <s v="ORD-02114"/>
    <d v="2022-07-19T00:00:00"/>
    <s v="CUST71584"/>
    <s v="Kavya Mehta"/>
    <n v="28"/>
    <x v="2"/>
    <x v="4"/>
    <s v="Kochi"/>
    <x v="2"/>
    <x v="2"/>
    <n v="2"/>
    <n v="23522.83"/>
    <n v="0.15"/>
    <x v="953"/>
    <x v="953"/>
    <n v="70.069999999999993"/>
    <s v="EMI"/>
    <n v="2"/>
    <b v="0"/>
    <x v="1"/>
    <n v="8"/>
    <m/>
    <s v="Mid Age"/>
  </r>
  <r>
    <s v="ORD-03137"/>
    <d v="2023-09-17T00:00:00"/>
    <s v="CUST53427"/>
    <s v="Aarav Das"/>
    <n v="26"/>
    <x v="1"/>
    <x v="1"/>
    <s v="Mumbai"/>
    <x v="6"/>
    <x v="38"/>
    <n v="8"/>
    <n v="10683.75"/>
    <n v="0.04"/>
    <x v="954"/>
    <x v="954"/>
    <n v="59.9"/>
    <s v="Cash on Delivery"/>
    <n v="1"/>
    <b v="0"/>
    <x v="1"/>
    <n v="7"/>
    <m/>
    <s v="Mid Age"/>
  </r>
  <r>
    <s v="ORD-01438"/>
    <d v="2021-10-10T00:00:00"/>
    <s v="CUST54455"/>
    <s v="Shreya Mehta"/>
    <n v="57"/>
    <x v="2"/>
    <x v="4"/>
    <s v="Kochi"/>
    <x v="3"/>
    <x v="19"/>
    <n v="8"/>
    <n v="1196.3800000000001"/>
    <n v="0.14000000000000001"/>
    <x v="955"/>
    <x v="955"/>
    <n v="71.87"/>
    <s v="Net Banking"/>
    <n v="2"/>
    <b v="0"/>
    <x v="1"/>
    <n v="4"/>
    <m/>
    <s v="Old Age"/>
  </r>
  <r>
    <s v="ORD-02064"/>
    <d v="2022-06-29T00:00:00"/>
    <s v="CUST47972"/>
    <s v="Nisha Reddy"/>
    <n v="28"/>
    <x v="2"/>
    <x v="1"/>
    <s v="Mumbai"/>
    <x v="1"/>
    <x v="10"/>
    <n v="7"/>
    <n v="854.71"/>
    <n v="0.09"/>
    <x v="956"/>
    <x v="956"/>
    <n v="55.34"/>
    <s v="UPI"/>
    <n v="3"/>
    <b v="0"/>
    <x v="1"/>
    <n v="2"/>
    <m/>
    <s v="Mid Age"/>
  </r>
  <r>
    <s v="ORD-02307"/>
    <d v="2022-09-29T00:00:00"/>
    <s v="CUST02936"/>
    <s v="Amit Sharma"/>
    <n v="35"/>
    <x v="2"/>
    <x v="2"/>
    <s v="Amritsar"/>
    <x v="3"/>
    <x v="40"/>
    <n v="10"/>
    <n v="723.67"/>
    <n v="0.04"/>
    <x v="957"/>
    <x v="957"/>
    <n v="54.96"/>
    <s v="Net Banking"/>
    <s v="N/A"/>
    <b v="1"/>
    <x v="0"/>
    <n v="7"/>
    <m/>
    <s v="Mid Age"/>
  </r>
  <r>
    <s v="ORD-02545"/>
    <d v="2023-01-10T00:00:00"/>
    <s v="CUST44757"/>
    <s v="Aditya Kumar"/>
    <n v="27"/>
    <x v="1"/>
    <x v="4"/>
    <s v="Kochi"/>
    <x v="3"/>
    <x v="40"/>
    <n v="5"/>
    <n v="1209.77"/>
    <n v="0.22"/>
    <x v="958"/>
    <x v="958"/>
    <n v="48.73"/>
    <s v="Debit Card"/>
    <n v="1"/>
    <b v="0"/>
    <x v="1"/>
    <n v="10"/>
    <m/>
    <s v="Mid Age"/>
  </r>
  <r>
    <s v="ORD-02444"/>
    <d v="2022-11-28T00:00:00"/>
    <s v="CUST18227"/>
    <s v="Deepa Mehta"/>
    <n v="20"/>
    <x v="2"/>
    <x v="4"/>
    <s v="Hyderabad"/>
    <x v="0"/>
    <x v="35"/>
    <n v="6"/>
    <n v="282.54000000000002"/>
    <n v="0"/>
    <x v="959"/>
    <x v="959"/>
    <n v="101.43"/>
    <s v="UPI"/>
    <n v="2"/>
    <b v="0"/>
    <x v="4"/>
    <n v="9"/>
    <m/>
    <s v="Young Age"/>
  </r>
  <r>
    <s v="ORD-01051"/>
    <d v="2021-04-20T00:00:00"/>
    <s v="CUST83773"/>
    <s v="Aditya Mehta"/>
    <n v="34"/>
    <x v="0"/>
    <x v="4"/>
    <s v="Chennai"/>
    <x v="4"/>
    <x v="6"/>
    <n v="5"/>
    <n v="2726.58"/>
    <n v="0.16"/>
    <x v="960"/>
    <x v="960"/>
    <n v="55.2"/>
    <s v="EMI"/>
    <n v="4"/>
    <b v="0"/>
    <x v="1"/>
    <n v="3"/>
    <m/>
    <s v="Mid Age"/>
  </r>
  <r>
    <s v="ORD-02111"/>
    <d v="2022-07-18T00:00:00"/>
    <s v="CUST33335"/>
    <s v="Aditya Chatterjee"/>
    <n v="48"/>
    <x v="0"/>
    <x v="1"/>
    <s v="Mumbai"/>
    <x v="2"/>
    <x v="2"/>
    <n v="10"/>
    <n v="28298.23"/>
    <n v="0.25"/>
    <x v="961"/>
    <x v="961"/>
    <n v="94.71"/>
    <s v="Debit Card"/>
    <n v="4"/>
    <b v="0"/>
    <x v="1"/>
    <n v="4"/>
    <m/>
    <s v="Old Age"/>
  </r>
  <r>
    <s v="ORD-00109"/>
    <d v="2020-02-10T00:00:00"/>
    <s v="CUST69131"/>
    <s v="Karan Reddy"/>
    <n v="37"/>
    <x v="1"/>
    <x v="2"/>
    <s v="Ludhiana"/>
    <x v="2"/>
    <x v="8"/>
    <n v="8"/>
    <n v="18758.18"/>
    <n v="0.11"/>
    <x v="962"/>
    <x v="962"/>
    <n v="56.55"/>
    <s v="Net Banking"/>
    <n v="5"/>
    <b v="0"/>
    <x v="3"/>
    <n v="6"/>
    <m/>
    <s v="Mid Age"/>
  </r>
  <r>
    <s v="ORD-01377"/>
    <d v="2021-09-14T00:00:00"/>
    <s v="CUST06907"/>
    <s v="Arjun Iyer"/>
    <n v="12"/>
    <x v="2"/>
    <x v="4"/>
    <s v="Kochi"/>
    <x v="5"/>
    <x v="39"/>
    <m/>
    <n v="56629.75"/>
    <n v="0.04"/>
    <x v="963"/>
    <x v="963"/>
    <n v="63.16"/>
    <s v="Net Banking"/>
    <n v="5"/>
    <b v="0"/>
    <x v="1"/>
    <n v="9"/>
    <m/>
    <s v="Young Age"/>
  </r>
  <r>
    <s v="ORD-00580"/>
    <d v="2020-09-17T00:00:00"/>
    <s v="CUST77116"/>
    <s v="Deepa Chatterjee"/>
    <n v="55"/>
    <x v="1"/>
    <x v="4"/>
    <s v="Bangalore"/>
    <x v="5"/>
    <x v="25"/>
    <n v="10"/>
    <n v="74981.27"/>
    <n v="0.04"/>
    <x v="964"/>
    <x v="964"/>
    <n v="90.58"/>
    <s v="Debit Card"/>
    <n v="1"/>
    <b v="1"/>
    <x v="0"/>
    <n v="5"/>
    <m/>
    <s v="Old Age"/>
  </r>
  <r>
    <s v="ORD-01507"/>
    <d v="2021-11-07T00:00:00"/>
    <s v="CUST40530"/>
    <s v="Rohan Kapoor"/>
    <n v="24"/>
    <x v="1"/>
    <x v="4"/>
    <s v="Chennai"/>
    <x v="0"/>
    <x v="36"/>
    <n v="10"/>
    <n v="108.51"/>
    <n v="0.03"/>
    <x v="965"/>
    <x v="965"/>
    <n v="67.08"/>
    <s v="Debit Card"/>
    <n v="3"/>
    <b v="1"/>
    <x v="0"/>
    <n v="10"/>
    <m/>
    <s v="Young Age"/>
  </r>
  <r>
    <s v="ORD-00547"/>
    <d v="2020-08-30T00:00:00"/>
    <s v="CUST60580"/>
    <s v="Vikram Nair"/>
    <n v="53"/>
    <x v="2"/>
    <x v="4"/>
    <s v="Bangalore"/>
    <x v="2"/>
    <x v="2"/>
    <n v="8"/>
    <n v="13159.22"/>
    <n v="0.18"/>
    <x v="966"/>
    <x v="966"/>
    <n v="55.64"/>
    <s v="Credit Card"/>
    <n v="4"/>
    <b v="1"/>
    <x v="0"/>
    <n v="8"/>
    <m/>
    <s v="Old Age"/>
  </r>
  <r>
    <s v="ORD-00924"/>
    <d v="2021-02-22T00:00:00"/>
    <s v="CUST61112"/>
    <s v="Rahul Mishra"/>
    <n v="44"/>
    <x v="1"/>
    <x v="3"/>
    <s v="Bhubaneswar"/>
    <x v="0"/>
    <x v="4"/>
    <n v="1"/>
    <n v="227.48"/>
    <n v="0.11"/>
    <x v="967"/>
    <x v="967"/>
    <n v="47.37"/>
    <s v="EMI"/>
    <n v="1"/>
    <b v="0"/>
    <x v="2"/>
    <n v="4"/>
    <m/>
    <s v="Old Age"/>
  </r>
  <r>
    <s v="ORD-01081"/>
    <d v="2021-05-04T00:00:00"/>
    <s v="CUST44184"/>
    <s v="Rohan Shah"/>
    <n v="29"/>
    <x v="0"/>
    <x v="1"/>
    <s v="Ahmedabad"/>
    <x v="5"/>
    <x v="25"/>
    <n v="1"/>
    <n v="22006.34"/>
    <n v="0.11"/>
    <x v="968"/>
    <x v="968"/>
    <n v="40.729999999999997"/>
    <s v="Debit Card"/>
    <n v="2"/>
    <b v="1"/>
    <x v="0"/>
    <n v="10"/>
    <m/>
    <s v="Mid Age"/>
  </r>
  <r>
    <s v="ORD-00275"/>
    <d v="2020-05-01T00:00:00"/>
    <s v="CUST24667"/>
    <s v="Nikhil Kapoor"/>
    <n v="41"/>
    <x v="0"/>
    <x v="0"/>
    <s v="Nagpur"/>
    <x v="2"/>
    <x v="13"/>
    <n v="8"/>
    <n v="31845.06"/>
    <n v="0.06"/>
    <x v="969"/>
    <x v="969"/>
    <n v="38.42"/>
    <s v="Credit Card"/>
    <n v="1"/>
    <b v="0"/>
    <x v="1"/>
    <n v="10"/>
    <m/>
    <s v="Old Age"/>
  </r>
  <r>
    <s v="ORD-03517"/>
    <d v="2024-03-09T00:00:00"/>
    <s v="CUST27360"/>
    <s v="Meera Gupta"/>
    <n v="30"/>
    <x v="1"/>
    <x v="2"/>
    <s v="Amritsar"/>
    <x v="5"/>
    <x v="25"/>
    <n v="9"/>
    <n v="16973.28"/>
    <n v="0.05"/>
    <x v="970"/>
    <x v="970"/>
    <n v="35"/>
    <s v="Cash on Delivery"/>
    <n v="4"/>
    <b v="0"/>
    <x v="3"/>
    <n v="4"/>
    <m/>
    <s v="Mid Age"/>
  </r>
  <r>
    <s v="ORD-01472"/>
    <d v="2021-10-24T00:00:00"/>
    <s v="CUST26553"/>
    <s v="Nikhil Kumar"/>
    <n v="27"/>
    <x v="1"/>
    <x v="4"/>
    <s v="Hyderabad"/>
    <x v="5"/>
    <x v="33"/>
    <n v="3"/>
    <n v="33682.54"/>
    <n v="0.26"/>
    <x v="971"/>
    <x v="971"/>
    <n v="56.02"/>
    <s v="Cash on Delivery"/>
    <n v="1"/>
    <b v="1"/>
    <x v="0"/>
    <n v="3"/>
    <m/>
    <s v="Mid Age"/>
  </r>
  <r>
    <s v="ORD-01299"/>
    <d v="2021-08-09T00:00:00"/>
    <s v="CUST07041"/>
    <s v="Aditya Bose"/>
    <n v="28"/>
    <x v="0"/>
    <x v="3"/>
    <s v="Bhubaneswar"/>
    <x v="6"/>
    <x v="38"/>
    <n v="6"/>
    <n v="8185.51"/>
    <n v="0.23"/>
    <x v="972"/>
    <x v="972"/>
    <n v="86.32"/>
    <s v="Credit Card"/>
    <n v="4"/>
    <b v="1"/>
    <x v="0"/>
    <n v="9"/>
    <m/>
    <s v="Mid Age"/>
  </r>
  <r>
    <s v="ORD-03316"/>
    <d v="2023-12-05T00:00:00"/>
    <s v="CUST71283"/>
    <s v="Aditya Shah"/>
    <n v="12"/>
    <x v="0"/>
    <x v="3"/>
    <s v="Patna"/>
    <x v="6"/>
    <x v="20"/>
    <n v="3"/>
    <n v="2813.63"/>
    <n v="0.22"/>
    <x v="973"/>
    <x v="973"/>
    <n v="71.86"/>
    <s v="EMI"/>
    <n v="2"/>
    <b v="0"/>
    <x v="1"/>
    <n v="9"/>
    <m/>
    <s v="Young Age"/>
  </r>
  <r>
    <s v="ORD-00951"/>
    <d v="2021-03-07T00:00:00"/>
    <s v="CUST39186"/>
    <s v="Meera Mehta"/>
    <n v="30"/>
    <x v="1"/>
    <x v="0"/>
    <s v="Raipur"/>
    <x v="4"/>
    <x v="12"/>
    <n v="10"/>
    <n v="2879.31"/>
    <n v="0.34"/>
    <x v="974"/>
    <x v="974"/>
    <n v="64.13"/>
    <s v="Debit Card"/>
    <n v="2"/>
    <b v="0"/>
    <x v="1"/>
    <n v="4"/>
    <m/>
    <s v="Mid Age"/>
  </r>
  <r>
    <s v="ORD-03695"/>
    <d v="2024-05-23T00:00:00"/>
    <s v="CUST26394"/>
    <s v="Priya Bose"/>
    <n v="27"/>
    <x v="0"/>
    <x v="4"/>
    <s v="Kochi"/>
    <x v="0"/>
    <x v="4"/>
    <n v="9"/>
    <n v="399.43"/>
    <n v="0.06"/>
    <x v="975"/>
    <x v="975"/>
    <n v="65.8"/>
    <s v="EMI"/>
    <n v="1"/>
    <b v="0"/>
    <x v="1"/>
    <n v="4"/>
    <m/>
    <s v="Mid Age"/>
  </r>
  <r>
    <s v="ORD-01830"/>
    <d v="2022-03-24T00:00:00"/>
    <s v="CUST13979"/>
    <s v="Vikram Chatterjee"/>
    <n v="28"/>
    <x v="1"/>
    <x v="4"/>
    <s v="Chennai"/>
    <x v="3"/>
    <x v="11"/>
    <n v="9"/>
    <n v="200.61"/>
    <n v="0.28000000000000003"/>
    <x v="976"/>
    <x v="976"/>
    <n v="52.8"/>
    <s v="Net Banking"/>
    <n v="4"/>
    <b v="0"/>
    <x v="1"/>
    <n v="9"/>
    <m/>
    <s v="Mid Age"/>
  </r>
  <r>
    <s v="ORD-01148"/>
    <d v="2021-05-30T00:00:00"/>
    <s v="CUST00645"/>
    <s v="Kavya Rao"/>
    <n v="22"/>
    <x v="0"/>
    <x v="3"/>
    <s v="Kolkata"/>
    <x v="3"/>
    <x v="30"/>
    <n v="8"/>
    <n v="1088.97"/>
    <n v="0.22"/>
    <x v="977"/>
    <x v="977"/>
    <n v="52.99"/>
    <s v="Net Banking"/>
    <n v="1"/>
    <b v="0"/>
    <x v="3"/>
    <n v="4"/>
    <m/>
    <s v="Young Age"/>
  </r>
  <r>
    <s v="ORD-03150"/>
    <d v="2023-09-27T00:00:00"/>
    <s v="CUST68116"/>
    <s v="Ritu Rao"/>
    <n v="17"/>
    <x v="2"/>
    <x v="2"/>
    <s v="Ludhiana"/>
    <x v="4"/>
    <x v="12"/>
    <n v="9"/>
    <n v="1354.39"/>
    <n v="0.12"/>
    <x v="978"/>
    <x v="978"/>
    <n v="43.39"/>
    <s v="Credit Card"/>
    <n v="5"/>
    <b v="0"/>
    <x v="1"/>
    <n v="10"/>
    <m/>
    <s v="Young Age"/>
  </r>
  <r>
    <s v="ORD-01953"/>
    <d v="2022-05-13T00:00:00"/>
    <s v="CUST12422"/>
    <s v="Nikhil Kumar"/>
    <n v="33"/>
    <x v="2"/>
    <x v="2"/>
    <s v="Chandigarh"/>
    <x v="3"/>
    <x v="5"/>
    <n v="8"/>
    <n v="941.99"/>
    <n v="0.39"/>
    <x v="979"/>
    <x v="979"/>
    <n v="56.26"/>
    <s v="EMI"/>
    <n v="1"/>
    <b v="1"/>
    <x v="0"/>
    <n v="9"/>
    <m/>
    <s v="Mid Age"/>
  </r>
  <r>
    <s v="ORD-01811"/>
    <d v="2022-03-12T00:00:00"/>
    <s v="CUST60426"/>
    <s v="Arjun Pillai"/>
    <n v="41"/>
    <x v="0"/>
    <x v="4"/>
    <s v="Hyderabad"/>
    <x v="6"/>
    <x v="18"/>
    <n v="7"/>
    <n v="14019.83"/>
    <n v="0.28999999999999998"/>
    <x v="980"/>
    <x v="980"/>
    <n v="70.819999999999993"/>
    <s v="Debit Card"/>
    <n v="5"/>
    <b v="0"/>
    <x v="1"/>
    <n v="1"/>
    <m/>
    <s v="Old Age"/>
  </r>
  <r>
    <s v="ORD-03384"/>
    <d v="2024-01-03T00:00:00"/>
    <s v="CUST17189"/>
    <s v="Pooja Chatterjee"/>
    <n v="37"/>
    <x v="1"/>
    <x v="0"/>
    <s v="Bhopal"/>
    <x v="6"/>
    <x v="18"/>
    <n v="8"/>
    <n v="14903.83"/>
    <n v="0.21"/>
    <x v="981"/>
    <x v="981"/>
    <n v="76.17"/>
    <s v="EMI"/>
    <n v="4"/>
    <b v="0"/>
    <x v="1"/>
    <n v="10"/>
    <m/>
    <s v="Mid Age"/>
  </r>
  <r>
    <s v="ORD-02087"/>
    <d v="2022-07-08T00:00:00"/>
    <s v="CUST38893"/>
    <s v="Sunita Pillai"/>
    <n v="14"/>
    <x v="0"/>
    <x v="0"/>
    <s v="Bhopal"/>
    <x v="5"/>
    <x v="15"/>
    <n v="2"/>
    <n v="73303.92"/>
    <n v="0.03"/>
    <x v="982"/>
    <x v="982"/>
    <n v="67.75"/>
    <s v="Cash on Delivery"/>
    <n v="4"/>
    <b v="0"/>
    <x v="1"/>
    <n v="9"/>
    <m/>
    <s v="Young Age"/>
  </r>
  <r>
    <s v="ORD-01217"/>
    <d v="2021-07-03T00:00:00"/>
    <s v="CUST73651"/>
    <s v="Sunita Das"/>
    <n v="37"/>
    <x v="0"/>
    <x v="2"/>
    <s v="Delhi"/>
    <x v="3"/>
    <x v="11"/>
    <n v="9"/>
    <n v="1146.99"/>
    <n v="0.35"/>
    <x v="983"/>
    <x v="983"/>
    <n v="59.09"/>
    <s v="UPI"/>
    <n v="4"/>
    <b v="0"/>
    <x v="4"/>
    <n v="9"/>
    <m/>
    <s v="Mid Age"/>
  </r>
  <r>
    <s v="ORD-02217"/>
    <d v="2022-08-26T00:00:00"/>
    <s v="CUST06113"/>
    <s v="Rohan Nair"/>
    <n v="31"/>
    <x v="0"/>
    <x v="4"/>
    <s v="Bangalore"/>
    <x v="1"/>
    <x v="41"/>
    <n v="6"/>
    <n v="1131.18"/>
    <n v="0.05"/>
    <x v="984"/>
    <x v="984"/>
    <n v="69.489999999999995"/>
    <s v="Credit Card"/>
    <n v="1"/>
    <b v="0"/>
    <x v="1"/>
    <n v="8"/>
    <m/>
    <s v="Mid Age"/>
  </r>
  <r>
    <m/>
    <m/>
    <m/>
    <m/>
    <s v="N/A"/>
    <x v="3"/>
    <x v="5"/>
    <m/>
    <x v="7"/>
    <x v="42"/>
    <m/>
    <m/>
    <m/>
    <x v="985"/>
    <x v="985"/>
    <m/>
    <m/>
    <m/>
    <m/>
    <x v="5"/>
    <m/>
    <m/>
    <m/>
  </r>
  <r>
    <m/>
    <m/>
    <m/>
    <m/>
    <s v="N/A"/>
    <x v="3"/>
    <x v="5"/>
    <m/>
    <x v="7"/>
    <x v="42"/>
    <m/>
    <m/>
    <m/>
    <x v="985"/>
    <x v="985"/>
    <m/>
    <m/>
    <m/>
    <m/>
    <x v="5"/>
    <m/>
    <m/>
    <m/>
  </r>
  <r>
    <m/>
    <m/>
    <m/>
    <m/>
    <s v="N/A"/>
    <x v="3"/>
    <x v="5"/>
    <m/>
    <x v="7"/>
    <x v="42"/>
    <m/>
    <m/>
    <m/>
    <x v="985"/>
    <x v="985"/>
    <m/>
    <m/>
    <m/>
    <m/>
    <x v="5"/>
    <m/>
    <m/>
    <m/>
  </r>
  <r>
    <m/>
    <m/>
    <m/>
    <m/>
    <s v="N/A"/>
    <x v="3"/>
    <x v="5"/>
    <m/>
    <x v="7"/>
    <x v="42"/>
    <m/>
    <m/>
    <m/>
    <x v="985"/>
    <x v="985"/>
    <m/>
    <m/>
    <m/>
    <m/>
    <x v="5"/>
    <m/>
    <m/>
    <m/>
  </r>
  <r>
    <m/>
    <m/>
    <m/>
    <m/>
    <s v="N/A"/>
    <x v="3"/>
    <x v="5"/>
    <m/>
    <x v="7"/>
    <x v="42"/>
    <m/>
    <m/>
    <m/>
    <x v="985"/>
    <x v="985"/>
    <m/>
    <m/>
    <m/>
    <m/>
    <x v="5"/>
    <m/>
    <m/>
    <m/>
  </r>
  <r>
    <m/>
    <m/>
    <m/>
    <m/>
    <s v="N/A"/>
    <x v="3"/>
    <x v="5"/>
    <m/>
    <x v="7"/>
    <x v="42"/>
    <m/>
    <m/>
    <m/>
    <x v="985"/>
    <x v="985"/>
    <m/>
    <m/>
    <m/>
    <m/>
    <x v="5"/>
    <m/>
    <m/>
    <m/>
  </r>
  <r>
    <m/>
    <m/>
    <m/>
    <m/>
    <s v="N/A"/>
    <x v="3"/>
    <x v="5"/>
    <m/>
    <x v="7"/>
    <x v="42"/>
    <m/>
    <m/>
    <m/>
    <x v="985"/>
    <x v="985"/>
    <m/>
    <m/>
    <m/>
    <m/>
    <x v="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Category">
  <location ref="A18:B26" firstHeaderRow="1" firstDataRow="1" firstDataCol="1" rowPageCount="1" colPageCount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1"/>
        <item x="3"/>
        <item x="4"/>
        <item x="5"/>
        <item x="2"/>
        <item x="0"/>
        <item x="6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ame="Category With Most Return" axis="axisPage" dataField="1" multipleItemSelectionAllowed="1" showAll="0">
      <items count="7">
        <item h="1" x="3"/>
        <item h="1" x="1"/>
        <item h="1" x="2"/>
        <item x="0"/>
        <item h="1" x="4"/>
        <item h="1" x="5"/>
        <item t="default"/>
      </items>
    </pivotField>
    <pivotField showAll="0"/>
    <pivotField showAll="0"/>
    <pivotField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9" hier="-1"/>
  </pageFields>
  <dataFields count="1">
    <dataField name="Returns" fld="19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Products">
  <location ref="A3:B14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44">
        <item x="3"/>
        <item x="40"/>
        <item x="24"/>
        <item x="25"/>
        <item x="13"/>
        <item x="19"/>
        <item x="11"/>
        <item x="4"/>
        <item x="22"/>
        <item x="31"/>
        <item x="9"/>
        <item x="28"/>
        <item x="14"/>
        <item x="18"/>
        <item x="29"/>
        <item x="30"/>
        <item x="36"/>
        <item x="20"/>
        <item x="23"/>
        <item x="17"/>
        <item x="16"/>
        <item x="26"/>
        <item x="7"/>
        <item x="21"/>
        <item x="10"/>
        <item x="37"/>
        <item x="34"/>
        <item x="6"/>
        <item x="5"/>
        <item x="41"/>
        <item x="39"/>
        <item x="33"/>
        <item x="2"/>
        <item x="0"/>
        <item x="1"/>
        <item x="15"/>
        <item x="35"/>
        <item x="27"/>
        <item x="32"/>
        <item x="12"/>
        <item x="8"/>
        <item x="38"/>
        <item x="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>
      <items count="987">
        <item x="834"/>
        <item x="270"/>
        <item x="375"/>
        <item x="102"/>
        <item x="111"/>
        <item x="566"/>
        <item x="882"/>
        <item x="967"/>
        <item x="256"/>
        <item x="293"/>
        <item x="548"/>
        <item x="246"/>
        <item x="800"/>
        <item x="762"/>
        <item x="766"/>
        <item x="490"/>
        <item x="532"/>
        <item x="748"/>
        <item x="236"/>
        <item x="202"/>
        <item x="159"/>
        <item x="26"/>
        <item x="4"/>
        <item x="530"/>
        <item x="896"/>
        <item x="831"/>
        <item x="391"/>
        <item x="313"/>
        <item x="437"/>
        <item x="945"/>
        <item x="292"/>
        <item x="11"/>
        <item x="404"/>
        <item x="903"/>
        <item x="678"/>
        <item x="668"/>
        <item x="790"/>
        <item x="917"/>
        <item x="910"/>
        <item x="216"/>
        <item x="828"/>
        <item x="512"/>
        <item x="927"/>
        <item x="538"/>
        <item x="438"/>
        <item x="537"/>
        <item x="630"/>
        <item x="12"/>
        <item x="909"/>
        <item x="370"/>
        <item x="812"/>
        <item x="262"/>
        <item x="878"/>
        <item x="252"/>
        <item x="778"/>
        <item x="546"/>
        <item x="23"/>
        <item x="881"/>
        <item x="645"/>
        <item x="345"/>
        <item x="889"/>
        <item x="254"/>
        <item x="695"/>
        <item x="911"/>
        <item x="611"/>
        <item x="746"/>
        <item x="360"/>
        <item x="294"/>
        <item x="843"/>
        <item x="948"/>
        <item x="403"/>
        <item x="222"/>
        <item x="103"/>
        <item x="741"/>
        <item x="673"/>
        <item x="315"/>
        <item x="867"/>
        <item x="491"/>
        <item x="809"/>
        <item x="914"/>
        <item x="53"/>
        <item x="226"/>
        <item x="712"/>
        <item x="436"/>
        <item x="965"/>
        <item x="401"/>
        <item x="135"/>
        <item x="273"/>
        <item x="938"/>
        <item x="82"/>
        <item x="425"/>
        <item x="593"/>
        <item x="874"/>
        <item x="291"/>
        <item x="820"/>
        <item x="840"/>
        <item x="6"/>
        <item x="227"/>
        <item x="902"/>
        <item x="241"/>
        <item x="277"/>
        <item x="664"/>
        <item x="523"/>
        <item x="78"/>
        <item x="697"/>
        <item x="662"/>
        <item x="170"/>
        <item x="468"/>
        <item x="188"/>
        <item x="723"/>
        <item x="174"/>
        <item x="371"/>
        <item x="49"/>
        <item x="604"/>
        <item x="824"/>
        <item x="225"/>
        <item x="289"/>
        <item x="937"/>
        <item x="607"/>
        <item x="936"/>
        <item x="353"/>
        <item x="142"/>
        <item x="58"/>
        <item x="81"/>
        <item x="560"/>
        <item x="140"/>
        <item x="298"/>
        <item x="297"/>
        <item x="230"/>
        <item x="720"/>
        <item x="478"/>
        <item x="323"/>
        <item x="463"/>
        <item x="722"/>
        <item x="326"/>
        <item x="671"/>
        <item x="724"/>
        <item x="782"/>
        <item x="492"/>
        <item x="419"/>
        <item x="639"/>
        <item x="895"/>
        <item x="670"/>
        <item x="863"/>
        <item x="976"/>
        <item x="816"/>
        <item x="781"/>
        <item x="288"/>
        <item x="691"/>
        <item x="208"/>
        <item x="590"/>
        <item x="308"/>
        <item x="764"/>
        <item x="168"/>
        <item x="504"/>
        <item x="511"/>
        <item x="525"/>
        <item x="873"/>
        <item x="113"/>
        <item x="307"/>
        <item x="459"/>
        <item x="837"/>
        <item x="127"/>
        <item x="717"/>
        <item x="173"/>
        <item x="526"/>
        <item x="99"/>
        <item x="603"/>
        <item x="346"/>
        <item x="465"/>
        <item x="578"/>
        <item x="833"/>
        <item x="347"/>
        <item x="773"/>
        <item x="949"/>
        <item x="267"/>
        <item x="487"/>
        <item x="959"/>
        <item x="314"/>
        <item x="255"/>
        <item x="934"/>
        <item x="709"/>
        <item x="700"/>
        <item x="214"/>
        <item x="245"/>
        <item x="597"/>
        <item x="61"/>
        <item x="271"/>
        <item x="266"/>
        <item x="769"/>
        <item x="39"/>
        <item x="756"/>
        <item x="761"/>
        <item x="793"/>
        <item x="656"/>
        <item x="48"/>
        <item x="571"/>
        <item x="716"/>
        <item x="296"/>
        <item x="317"/>
        <item x="897"/>
        <item x="37"/>
        <item x="694"/>
        <item x="615"/>
        <item x="160"/>
        <item x="442"/>
        <item x="52"/>
        <item x="519"/>
        <item x="929"/>
        <item x="399"/>
        <item x="794"/>
        <item x="821"/>
        <item x="374"/>
        <item x="771"/>
        <item x="559"/>
        <item x="7"/>
        <item x="561"/>
        <item x="617"/>
        <item x="5"/>
        <item x="814"/>
        <item x="601"/>
        <item x="935"/>
        <item x="349"/>
        <item x="238"/>
        <item x="427"/>
        <item x="627"/>
        <item x="476"/>
        <item x="810"/>
        <item x="285"/>
        <item x="301"/>
        <item x="389"/>
        <item x="844"/>
        <item x="753"/>
        <item x="500"/>
        <item x="930"/>
        <item x="413"/>
        <item x="942"/>
        <item x="264"/>
        <item x="27"/>
        <item x="57"/>
        <item x="822"/>
        <item x="454"/>
        <item x="707"/>
        <item x="128"/>
        <item x="329"/>
        <item x="204"/>
        <item x="552"/>
        <item x="912"/>
        <item x="134"/>
        <item x="846"/>
        <item x="554"/>
        <item x="62"/>
        <item x="95"/>
        <item x="851"/>
        <item x="182"/>
        <item x="864"/>
        <item x="641"/>
        <item x="330"/>
        <item x="786"/>
        <item x="119"/>
        <item x="563"/>
        <item x="486"/>
        <item x="141"/>
        <item x="672"/>
        <item x="409"/>
        <item x="496"/>
        <item x="540"/>
        <item x="180"/>
        <item x="8"/>
        <item x="220"/>
        <item x="858"/>
        <item x="280"/>
        <item x="770"/>
        <item x="263"/>
        <item x="406"/>
        <item x="434"/>
        <item x="619"/>
        <item x="693"/>
        <item x="341"/>
        <item x="152"/>
        <item x="804"/>
        <item x="827"/>
        <item x="884"/>
        <item x="644"/>
        <item x="528"/>
        <item x="461"/>
        <item x="212"/>
        <item x="366"/>
        <item x="358"/>
        <item x="24"/>
        <item x="229"/>
        <item x="842"/>
        <item x="750"/>
        <item x="311"/>
        <item x="747"/>
        <item x="498"/>
        <item x="185"/>
        <item x="789"/>
        <item x="595"/>
        <item x="802"/>
        <item x="772"/>
        <item x="589"/>
        <item x="715"/>
        <item x="258"/>
        <item x="470"/>
        <item x="860"/>
        <item x="650"/>
        <item x="698"/>
        <item x="423"/>
        <item x="449"/>
        <item x="56"/>
        <item x="400"/>
        <item x="618"/>
        <item x="34"/>
        <item x="714"/>
        <item x="484"/>
        <item x="65"/>
        <item x="31"/>
        <item x="685"/>
        <item x="179"/>
        <item x="29"/>
        <item x="172"/>
        <item x="624"/>
        <item x="94"/>
        <item x="483"/>
        <item x="602"/>
        <item x="221"/>
        <item x="614"/>
        <item x="892"/>
        <item x="101"/>
        <item x="806"/>
        <item x="599"/>
        <item x="883"/>
        <item x="0"/>
        <item x="796"/>
        <item x="248"/>
        <item x="568"/>
        <item x="66"/>
        <item x="203"/>
        <item x="217"/>
        <item x="640"/>
        <item x="906"/>
        <item x="290"/>
        <item x="482"/>
        <item x="588"/>
        <item x="387"/>
        <item x="402"/>
        <item x="958"/>
        <item x="901"/>
        <item x="93"/>
        <item x="47"/>
        <item x="629"/>
        <item x="509"/>
        <item x="75"/>
        <item x="441"/>
        <item x="190"/>
        <item x="943"/>
        <item x="275"/>
        <item x="158"/>
        <item x="488"/>
        <item x="655"/>
        <item x="165"/>
        <item x="14"/>
        <item x="38"/>
        <item x="784"/>
        <item x="274"/>
        <item x="171"/>
        <item x="310"/>
        <item x="338"/>
        <item x="529"/>
        <item x="426"/>
        <item x="743"/>
        <item x="494"/>
        <item x="392"/>
        <item x="711"/>
        <item x="471"/>
        <item x="591"/>
        <item x="361"/>
        <item x="679"/>
        <item x="973"/>
        <item x="175"/>
        <item x="534"/>
        <item x="653"/>
        <item x="259"/>
        <item x="690"/>
        <item x="872"/>
        <item x="975"/>
        <item x="458"/>
        <item x="886"/>
        <item x="768"/>
        <item x="352"/>
        <item x="125"/>
        <item x="923"/>
        <item x="727"/>
        <item x="857"/>
        <item x="567"/>
        <item x="485"/>
        <item x="635"/>
        <item x="813"/>
        <item x="368"/>
        <item x="605"/>
        <item x="416"/>
        <item x="839"/>
        <item x="890"/>
        <item x="394"/>
        <item x="926"/>
        <item x="765"/>
        <item x="60"/>
        <item x="87"/>
        <item x="412"/>
        <item x="979"/>
        <item x="755"/>
        <item x="731"/>
        <item x="586"/>
        <item x="735"/>
        <item x="45"/>
        <item x="585"/>
        <item x="838"/>
        <item x="701"/>
        <item x="424"/>
        <item x="328"/>
        <item x="740"/>
        <item x="137"/>
        <item x="70"/>
        <item x="51"/>
        <item x="823"/>
        <item x="104"/>
        <item x="445"/>
        <item x="372"/>
        <item x="908"/>
        <item x="803"/>
        <item x="729"/>
        <item x="704"/>
        <item x="350"/>
        <item x="900"/>
        <item x="515"/>
        <item x="22"/>
        <item x="865"/>
        <item x="703"/>
        <item x="121"/>
        <item x="163"/>
        <item x="758"/>
        <item x="956"/>
        <item x="616"/>
        <item x="907"/>
        <item x="388"/>
        <item x="377"/>
        <item x="384"/>
        <item x="518"/>
        <item x="447"/>
        <item x="177"/>
        <item x="260"/>
        <item x="76"/>
        <item x="955"/>
        <item x="777"/>
        <item x="663"/>
        <item x="612"/>
        <item x="242"/>
        <item x="780"/>
        <item x="925"/>
        <item x="536"/>
        <item x="849"/>
        <item x="110"/>
        <item x="364"/>
        <item x="299"/>
        <item x="847"/>
        <item x="984"/>
        <item x="343"/>
        <item x="570"/>
        <item x="862"/>
        <item x="733"/>
        <item x="237"/>
        <item x="268"/>
        <item x="284"/>
        <item x="176"/>
        <item x="1"/>
        <item x="757"/>
        <item x="444"/>
        <item x="983"/>
        <item x="191"/>
        <item x="573"/>
        <item x="13"/>
        <item x="661"/>
        <item x="481"/>
        <item x="977"/>
        <item x="186"/>
        <item x="891"/>
        <item x="957"/>
        <item x="286"/>
        <item x="805"/>
        <item x="55"/>
        <item x="336"/>
        <item x="868"/>
        <item x="866"/>
        <item x="683"/>
        <item x="265"/>
        <item x="575"/>
        <item x="105"/>
        <item x="527"/>
        <item x="316"/>
        <item x="657"/>
        <item x="410"/>
        <item x="382"/>
        <item x="702"/>
        <item x="522"/>
        <item x="551"/>
        <item x="407"/>
        <item x="107"/>
        <item x="710"/>
        <item x="845"/>
        <item x="451"/>
        <item x="797"/>
        <item x="665"/>
        <item x="210"/>
        <item x="90"/>
        <item x="154"/>
        <item x="332"/>
        <item x="18"/>
        <item x="699"/>
        <item x="583"/>
        <item x="646"/>
        <item x="931"/>
        <item x="149"/>
        <item x="71"/>
        <item x="652"/>
        <item x="767"/>
        <item x="606"/>
        <item x="357"/>
        <item x="924"/>
        <item x="67"/>
        <item x="303"/>
        <item x="785"/>
        <item x="162"/>
        <item x="556"/>
        <item x="120"/>
        <item x="550"/>
        <item x="788"/>
        <item x="792"/>
        <item x="300"/>
        <item x="574"/>
        <item x="933"/>
        <item x="278"/>
        <item x="429"/>
        <item x="799"/>
        <item x="453"/>
        <item x="209"/>
        <item x="348"/>
        <item x="213"/>
        <item x="305"/>
        <item x="192"/>
        <item x="916"/>
        <item x="466"/>
        <item x="88"/>
        <item x="320"/>
        <item x="126"/>
        <item x="950"/>
        <item x="415"/>
        <item x="219"/>
        <item x="467"/>
        <item x="59"/>
        <item x="947"/>
        <item x="122"/>
        <item x="234"/>
        <item x="894"/>
        <item x="306"/>
        <item x="477"/>
        <item x="830"/>
        <item x="919"/>
        <item x="363"/>
        <item x="495"/>
        <item x="905"/>
        <item x="117"/>
        <item x="631"/>
        <item x="978"/>
        <item x="114"/>
        <item x="613"/>
        <item x="688"/>
        <item x="565"/>
        <item x="184"/>
        <item x="9"/>
        <item x="198"/>
        <item x="473"/>
        <item x="456"/>
        <item x="581"/>
        <item x="558"/>
        <item x="852"/>
        <item x="541"/>
        <item x="875"/>
        <item x="333"/>
        <item x="448"/>
        <item x="195"/>
        <item x="398"/>
        <item x="497"/>
        <item x="960"/>
        <item x="207"/>
        <item x="327"/>
        <item x="859"/>
        <item x="637"/>
        <item x="250"/>
        <item x="321"/>
        <item x="100"/>
        <item x="247"/>
        <item x="579"/>
        <item x="742"/>
        <item x="752"/>
        <item x="684"/>
        <item x="187"/>
        <item x="385"/>
        <item x="201"/>
        <item x="887"/>
        <item x="16"/>
        <item x="660"/>
        <item x="539"/>
        <item x="587"/>
        <item x="193"/>
        <item x="422"/>
        <item x="474"/>
        <item x="622"/>
        <item x="251"/>
        <item x="395"/>
        <item x="974"/>
        <item x="302"/>
        <item x="686"/>
        <item x="393"/>
        <item x="480"/>
        <item x="854"/>
        <item x="390"/>
        <item x="378"/>
        <item x="545"/>
        <item x="666"/>
        <item x="932"/>
        <item x="276"/>
        <item x="420"/>
        <item x="239"/>
        <item x="706"/>
        <item x="206"/>
        <item x="776"/>
        <item x="549"/>
        <item x="600"/>
        <item x="197"/>
        <item x="369"/>
        <item x="215"/>
        <item x="643"/>
        <item x="44"/>
        <item x="696"/>
        <item x="32"/>
        <item x="157"/>
        <item x="779"/>
        <item x="380"/>
        <item x="564"/>
        <item x="233"/>
        <item x="634"/>
        <item x="223"/>
        <item x="625"/>
        <item x="131"/>
        <item x="968"/>
        <item x="211"/>
        <item x="379"/>
        <item x="658"/>
        <item x="115"/>
        <item x="272"/>
        <item x="651"/>
        <item x="871"/>
        <item x="166"/>
        <item x="443"/>
        <item x="25"/>
        <item x="791"/>
        <item x="763"/>
        <item x="150"/>
        <item x="620"/>
        <item x="708"/>
        <item x="72"/>
        <item x="116"/>
        <item x="562"/>
        <item x="146"/>
        <item x="555"/>
        <item x="521"/>
        <item x="464"/>
        <item x="381"/>
        <item x="848"/>
        <item x="83"/>
        <item x="513"/>
        <item x="744"/>
        <item x="576"/>
        <item x="64"/>
        <item x="869"/>
        <item x="376"/>
        <item x="885"/>
        <item x="633"/>
        <item x="396"/>
        <item x="493"/>
        <item x="669"/>
        <item x="151"/>
        <item x="922"/>
        <item x="43"/>
        <item x="224"/>
        <item x="319"/>
        <item x="112"/>
        <item x="543"/>
        <item x="621"/>
        <item x="136"/>
        <item x="144"/>
        <item x="218"/>
        <item x="856"/>
        <item x="692"/>
        <item x="940"/>
        <item x="30"/>
        <item x="880"/>
        <item x="649"/>
        <item x="46"/>
        <item x="73"/>
        <item x="148"/>
        <item x="431"/>
        <item x="826"/>
        <item x="232"/>
        <item x="167"/>
        <item x="367"/>
        <item x="972"/>
        <item x="133"/>
        <item x="520"/>
        <item x="580"/>
        <item x="725"/>
        <item x="91"/>
        <item x="287"/>
        <item x="309"/>
        <item x="835"/>
        <item x="50"/>
        <item x="514"/>
        <item x="355"/>
        <item x="63"/>
        <item x="531"/>
        <item x="516"/>
        <item x="654"/>
        <item x="335"/>
        <item x="928"/>
        <item x="572"/>
        <item x="795"/>
        <item x="953"/>
        <item x="397"/>
        <item x="479"/>
        <item x="42"/>
        <item x="682"/>
        <item x="281"/>
        <item x="334"/>
        <item x="362"/>
        <item x="475"/>
        <item x="386"/>
        <item x="898"/>
        <item x="283"/>
        <item x="118"/>
        <item x="535"/>
        <item x="411"/>
        <item x="365"/>
        <item x="282"/>
        <item x="861"/>
        <item x="533"/>
        <item x="21"/>
        <item x="818"/>
        <item x="96"/>
        <item x="971"/>
        <item x="963"/>
        <item x="304"/>
        <item x="850"/>
        <item x="383"/>
        <item x="648"/>
        <item x="921"/>
        <item x="19"/>
        <item x="351"/>
        <item x="553"/>
        <item x="359"/>
        <item x="610"/>
        <item x="161"/>
        <item x="807"/>
        <item x="951"/>
        <item x="726"/>
        <item x="584"/>
        <item x="295"/>
        <item x="915"/>
        <item x="632"/>
        <item x="92"/>
        <item x="257"/>
        <item x="164"/>
        <item x="783"/>
        <item x="667"/>
        <item x="542"/>
        <item x="904"/>
        <item x="505"/>
        <item x="249"/>
        <item x="677"/>
        <item x="439"/>
        <item x="920"/>
        <item x="428"/>
        <item x="80"/>
        <item x="966"/>
        <item x="577"/>
        <item x="980"/>
        <item x="457"/>
        <item x="244"/>
        <item x="10"/>
        <item x="918"/>
        <item x="342"/>
        <item x="354"/>
        <item x="981"/>
        <item x="54"/>
        <item x="430"/>
        <item x="626"/>
        <item x="728"/>
        <item x="879"/>
        <item x="147"/>
        <item x="36"/>
        <item x="77"/>
        <item x="181"/>
        <item x="324"/>
        <item x="647"/>
        <item x="340"/>
        <item x="109"/>
        <item x="592"/>
        <item x="680"/>
        <item x="124"/>
        <item x="79"/>
        <item x="870"/>
        <item x="734"/>
        <item x="749"/>
        <item x="760"/>
        <item x="569"/>
        <item x="836"/>
        <item x="489"/>
        <item x="508"/>
        <item x="675"/>
        <item x="877"/>
        <item x="373"/>
        <item x="2"/>
        <item x="261"/>
        <item x="139"/>
        <item x="962"/>
        <item x="954"/>
        <item x="775"/>
        <item x="312"/>
        <item x="200"/>
        <item x="68"/>
        <item x="85"/>
        <item x="405"/>
        <item x="199"/>
        <item x="817"/>
        <item x="596"/>
        <item x="841"/>
        <item x="138"/>
        <item x="418"/>
        <item x="888"/>
        <item x="751"/>
        <item x="450"/>
        <item x="674"/>
        <item x="339"/>
        <item x="194"/>
        <item x="205"/>
        <item x="730"/>
        <item x="279"/>
        <item x="15"/>
        <item x="129"/>
        <item x="689"/>
        <item x="41"/>
        <item x="819"/>
        <item x="801"/>
        <item x="89"/>
        <item x="510"/>
        <item x="628"/>
        <item x="145"/>
        <item x="608"/>
        <item x="939"/>
        <item x="235"/>
        <item x="183"/>
        <item x="143"/>
        <item x="713"/>
        <item x="130"/>
        <item x="502"/>
        <item x="876"/>
        <item x="745"/>
        <item x="132"/>
        <item x="853"/>
        <item x="421"/>
        <item x="106"/>
        <item x="86"/>
        <item x="705"/>
        <item x="228"/>
        <item x="414"/>
        <item x="74"/>
        <item x="356"/>
        <item x="469"/>
        <item x="33"/>
        <item x="719"/>
        <item x="452"/>
        <item x="462"/>
        <item x="811"/>
        <item x="798"/>
        <item x="718"/>
        <item x="687"/>
        <item x="344"/>
        <item x="944"/>
        <item x="98"/>
        <item x="440"/>
        <item x="913"/>
        <item x="432"/>
        <item x="736"/>
        <item x="754"/>
        <item x="455"/>
        <item x="40"/>
        <item x="97"/>
        <item x="832"/>
        <item x="189"/>
        <item x="460"/>
        <item x="318"/>
        <item x="501"/>
        <item x="899"/>
        <item x="240"/>
        <item x="594"/>
        <item x="84"/>
        <item x="253"/>
        <item x="970"/>
        <item x="808"/>
        <item x="759"/>
        <item x="517"/>
        <item x="196"/>
        <item x="153"/>
        <item x="499"/>
        <item x="35"/>
        <item x="982"/>
        <item x="417"/>
        <item x="952"/>
        <item x="659"/>
        <item x="787"/>
        <item x="472"/>
        <item x="721"/>
        <item x="598"/>
        <item x="732"/>
        <item x="737"/>
        <item x="3"/>
        <item x="676"/>
        <item x="774"/>
        <item x="325"/>
        <item x="738"/>
        <item x="503"/>
        <item x="123"/>
        <item x="855"/>
        <item x="642"/>
        <item x="506"/>
        <item x="446"/>
        <item x="946"/>
        <item x="169"/>
        <item x="108"/>
        <item x="969"/>
        <item x="893"/>
        <item x="17"/>
        <item x="322"/>
        <item x="961"/>
        <item x="638"/>
        <item x="582"/>
        <item x="815"/>
        <item x="557"/>
        <item x="739"/>
        <item x="941"/>
        <item x="433"/>
        <item x="331"/>
        <item x="681"/>
        <item x="243"/>
        <item x="636"/>
        <item x="69"/>
        <item x="435"/>
        <item x="829"/>
        <item x="231"/>
        <item x="269"/>
        <item x="544"/>
        <item x="547"/>
        <item x="20"/>
        <item x="156"/>
        <item x="507"/>
        <item x="623"/>
        <item x="155"/>
        <item x="337"/>
        <item x="609"/>
        <item x="408"/>
        <item x="524"/>
        <item x="28"/>
        <item x="825"/>
        <item x="178"/>
        <item x="964"/>
        <item x="985"/>
        <item t="default"/>
      </items>
    </pivotField>
    <pivotField showAll="0">
      <items count="987">
        <item x="834"/>
        <item x="375"/>
        <item x="270"/>
        <item x="111"/>
        <item x="566"/>
        <item x="102"/>
        <item x="882"/>
        <item x="293"/>
        <item x="967"/>
        <item x="490"/>
        <item x="945"/>
        <item x="246"/>
        <item x="236"/>
        <item x="256"/>
        <item x="800"/>
        <item x="532"/>
        <item x="26"/>
        <item x="159"/>
        <item x="766"/>
        <item x="748"/>
        <item x="11"/>
        <item x="762"/>
        <item x="345"/>
        <item x="530"/>
        <item x="4"/>
        <item x="404"/>
        <item x="831"/>
        <item x="313"/>
        <item x="668"/>
        <item x="512"/>
        <item x="630"/>
        <item x="828"/>
        <item x="746"/>
        <item x="216"/>
        <item x="917"/>
        <item x="438"/>
        <item x="294"/>
        <item x="741"/>
        <item x="809"/>
        <item x="909"/>
        <item x="227"/>
        <item x="712"/>
        <item x="103"/>
        <item x="273"/>
        <item x="820"/>
        <item x="491"/>
        <item x="764"/>
        <item x="722"/>
        <item x="353"/>
        <item x="437"/>
        <item x="463"/>
        <item x="781"/>
        <item x="298"/>
        <item x="174"/>
        <item x="81"/>
        <item x="936"/>
        <item x="717"/>
        <item x="49"/>
        <item x="548"/>
        <item x="673"/>
        <item x="670"/>
        <item x="895"/>
        <item x="371"/>
        <item x="867"/>
        <item x="525"/>
        <item x="604"/>
        <item x="590"/>
        <item x="317"/>
        <item x="697"/>
        <item x="965"/>
        <item x="935"/>
        <item x="225"/>
        <item x="511"/>
        <item x="824"/>
        <item x="52"/>
        <item x="546"/>
        <item x="288"/>
        <item x="769"/>
        <item x="492"/>
        <item x="691"/>
        <item x="578"/>
        <item x="297"/>
        <item x="833"/>
        <item x="208"/>
        <item x="773"/>
        <item x="202"/>
        <item x="442"/>
        <item x="267"/>
        <item x="896"/>
        <item x="561"/>
        <item x="271"/>
        <item x="465"/>
        <item x="810"/>
        <item x="113"/>
        <item x="959"/>
        <item x="903"/>
        <item x="292"/>
        <item x="949"/>
        <item x="349"/>
        <item x="391"/>
        <item x="822"/>
        <item x="264"/>
        <item x="526"/>
        <item x="794"/>
        <item x="537"/>
        <item x="427"/>
        <item x="617"/>
        <item x="554"/>
        <item x="370"/>
        <item x="948"/>
        <item x="812"/>
        <item x="238"/>
        <item x="910"/>
        <item x="487"/>
        <item x="790"/>
        <item x="927"/>
        <item x="881"/>
        <item x="715"/>
        <item x="95"/>
        <item x="619"/>
        <item x="119"/>
        <item x="975"/>
        <item x="607"/>
        <item x="844"/>
        <item x="843"/>
        <item x="782"/>
        <item x="747"/>
        <item x="425"/>
        <item x="678"/>
        <item x="695"/>
        <item x="252"/>
        <item x="358"/>
        <item x="254"/>
        <item x="538"/>
        <item x="611"/>
        <item x="911"/>
        <item x="403"/>
        <item x="802"/>
        <item x="179"/>
        <item x="454"/>
        <item x="360"/>
        <item x="644"/>
        <item x="262"/>
        <item x="778"/>
        <item x="878"/>
        <item x="188"/>
        <item x="0"/>
        <item x="142"/>
        <item x="23"/>
        <item x="311"/>
        <item x="593"/>
        <item x="12"/>
        <item x="772"/>
        <item x="840"/>
        <item x="523"/>
        <item x="914"/>
        <item x="714"/>
        <item x="401"/>
        <item x="645"/>
        <item x="53"/>
        <item x="902"/>
        <item x="938"/>
        <item x="461"/>
        <item x="222"/>
        <item x="560"/>
        <item x="750"/>
        <item x="315"/>
        <item x="709"/>
        <item x="226"/>
        <item x="135"/>
        <item x="6"/>
        <item x="723"/>
        <item x="529"/>
        <item x="889"/>
        <item x="203"/>
        <item x="78"/>
        <item x="289"/>
        <item x="347"/>
        <item x="639"/>
        <item x="277"/>
        <item x="468"/>
        <item x="937"/>
        <item x="173"/>
        <item x="874"/>
        <item x="291"/>
        <item x="615"/>
        <item x="883"/>
        <item x="597"/>
        <item x="168"/>
        <item x="170"/>
        <item x="140"/>
        <item x="82"/>
        <item x="664"/>
        <item x="519"/>
        <item x="99"/>
        <item x="504"/>
        <item x="419"/>
        <item x="662"/>
        <item x="58"/>
        <item x="326"/>
        <item x="308"/>
        <item x="307"/>
        <item x="274"/>
        <item x="671"/>
        <item x="601"/>
        <item x="720"/>
        <item x="459"/>
        <item x="656"/>
        <item x="266"/>
        <item x="230"/>
        <item x="837"/>
        <item x="873"/>
        <item x="296"/>
        <item x="436"/>
        <item x="884"/>
        <item x="478"/>
        <item x="127"/>
        <item x="700"/>
        <item x="756"/>
        <item x="934"/>
        <item x="724"/>
        <item x="241"/>
        <item x="346"/>
        <item x="413"/>
        <item x="368"/>
        <item x="603"/>
        <item x="563"/>
        <item x="314"/>
        <item x="863"/>
        <item x="814"/>
        <item x="214"/>
        <item x="245"/>
        <item x="323"/>
        <item x="7"/>
        <item x="160"/>
        <item x="406"/>
        <item x="694"/>
        <item x="771"/>
        <item x="559"/>
        <item x="740"/>
        <item x="204"/>
        <item x="743"/>
        <item x="255"/>
        <item x="860"/>
        <item x="571"/>
        <item x="816"/>
        <item x="897"/>
        <item x="821"/>
        <item x="374"/>
        <item x="27"/>
        <item x="976"/>
        <item x="846"/>
        <item x="37"/>
        <item x="48"/>
        <item x="716"/>
        <item x="827"/>
        <item x="180"/>
        <item x="57"/>
        <item x="793"/>
        <item x="614"/>
        <item x="400"/>
        <item x="182"/>
        <item x="39"/>
        <item x="389"/>
        <item x="929"/>
        <item x="177"/>
        <item x="761"/>
        <item x="602"/>
        <item x="61"/>
        <item x="366"/>
        <item x="629"/>
        <item x="399"/>
        <item x="627"/>
        <item x="93"/>
        <item x="864"/>
        <item x="301"/>
        <item x="5"/>
        <item x="152"/>
        <item x="24"/>
        <item x="930"/>
        <item x="486"/>
        <item x="540"/>
        <item x="707"/>
        <item x="753"/>
        <item x="280"/>
        <item x="488"/>
        <item x="704"/>
        <item x="171"/>
        <item x="62"/>
        <item x="804"/>
        <item x="672"/>
        <item x="56"/>
        <item x="263"/>
        <item x="912"/>
        <item x="916"/>
        <item x="858"/>
        <item x="655"/>
        <item x="901"/>
        <item x="172"/>
        <item x="498"/>
        <item x="128"/>
        <item x="641"/>
        <item x="441"/>
        <item x="500"/>
        <item x="796"/>
        <item x="60"/>
        <item x="134"/>
        <item x="786"/>
        <item x="190"/>
        <item x="87"/>
        <item x="770"/>
        <item x="229"/>
        <item x="552"/>
        <item x="387"/>
        <item x="275"/>
        <item x="258"/>
        <item x="589"/>
        <item x="329"/>
        <item x="29"/>
        <item x="449"/>
        <item x="221"/>
        <item x="483"/>
        <item x="942"/>
        <item x="165"/>
        <item x="212"/>
        <item x="341"/>
        <item x="842"/>
        <item x="476"/>
        <item x="434"/>
        <item x="409"/>
        <item x="8"/>
        <item x="191"/>
        <item x="528"/>
        <item x="285"/>
        <item x="973"/>
        <item x="66"/>
        <item x="125"/>
        <item x="484"/>
        <item x="65"/>
        <item x="765"/>
        <item x="220"/>
        <item x="618"/>
        <item x="650"/>
        <item x="789"/>
        <item x="851"/>
        <item x="75"/>
        <item x="587"/>
        <item x="943"/>
        <item x="887"/>
        <item x="290"/>
        <item x="330"/>
        <item x="731"/>
        <item x="906"/>
        <item x="685"/>
        <item x="693"/>
        <item x="76"/>
        <item x="624"/>
        <item x="568"/>
        <item x="784"/>
        <item x="328"/>
        <item x="141"/>
        <item x="94"/>
        <item x="237"/>
        <item x="444"/>
        <item x="635"/>
        <item x="361"/>
        <item x="892"/>
        <item x="394"/>
        <item x="392"/>
        <item x="862"/>
        <item x="217"/>
        <item x="338"/>
        <item x="599"/>
        <item x="471"/>
        <item x="320"/>
        <item x="958"/>
        <item x="185"/>
        <item x="416"/>
        <item x="496"/>
        <item x="31"/>
        <item x="806"/>
        <item x="158"/>
        <item x="38"/>
        <item x="70"/>
        <item x="482"/>
        <item x="698"/>
        <item x="412"/>
        <item x="679"/>
        <item x="300"/>
        <item x="34"/>
        <item x="477"/>
        <item x="248"/>
        <item x="595"/>
        <item x="426"/>
        <item x="703"/>
        <item x="423"/>
        <item x="485"/>
        <item x="259"/>
        <item x="907"/>
        <item x="470"/>
        <item x="509"/>
        <item x="660"/>
        <item x="711"/>
        <item x="137"/>
        <item x="175"/>
        <item x="640"/>
        <item x="47"/>
        <item x="213"/>
        <item x="121"/>
        <item x="605"/>
        <item x="350"/>
        <item x="402"/>
        <item x="663"/>
        <item x="310"/>
        <item x="447"/>
        <item x="838"/>
        <item x="727"/>
        <item x="556"/>
        <item x="445"/>
        <item x="567"/>
        <item x="101"/>
        <item x="979"/>
        <item x="857"/>
        <item x="591"/>
        <item x="616"/>
        <item x="785"/>
        <item x="14"/>
        <item x="588"/>
        <item x="839"/>
        <item x="494"/>
        <item x="926"/>
        <item x="710"/>
        <item x="653"/>
        <item x="768"/>
        <item x="382"/>
        <item x="424"/>
        <item x="932"/>
        <item x="767"/>
        <item x="336"/>
        <item x="534"/>
        <item x="306"/>
        <item x="908"/>
        <item x="890"/>
        <item x="757"/>
        <item x="865"/>
        <item x="925"/>
        <item x="729"/>
        <item x="364"/>
        <item x="579"/>
        <item x="55"/>
        <item x="684"/>
        <item x="527"/>
        <item x="104"/>
        <item x="242"/>
        <item x="316"/>
        <item x="823"/>
        <item x="45"/>
        <item x="384"/>
        <item x="458"/>
        <item x="652"/>
        <item x="780"/>
        <item x="575"/>
        <item x="683"/>
        <item x="758"/>
        <item x="451"/>
        <item x="352"/>
        <item x="612"/>
        <item x="924"/>
        <item x="59"/>
        <item x="983"/>
        <item x="701"/>
        <item x="126"/>
        <item x="702"/>
        <item x="872"/>
        <item x="251"/>
        <item x="886"/>
        <item x="453"/>
        <item x="522"/>
        <item x="799"/>
        <item x="265"/>
        <item x="51"/>
        <item x="900"/>
        <item x="622"/>
        <item x="755"/>
        <item x="550"/>
        <item x="515"/>
        <item x="117"/>
        <item x="260"/>
        <item x="333"/>
        <item x="586"/>
        <item x="407"/>
        <item x="803"/>
        <item x="735"/>
        <item x="410"/>
        <item x="744"/>
        <item x="646"/>
        <item x="467"/>
        <item x="923"/>
        <item x="955"/>
        <item x="950"/>
        <item x="163"/>
        <item x="110"/>
        <item x="956"/>
        <item x="690"/>
        <item x="518"/>
        <item x="859"/>
        <item x="46"/>
        <item x="67"/>
        <item x="866"/>
        <item x="813"/>
        <item x="431"/>
        <item x="570"/>
        <item x="299"/>
        <item x="378"/>
        <item x="332"/>
        <item x="957"/>
        <item x="565"/>
        <item x="558"/>
        <item x="637"/>
        <item x="372"/>
        <item x="466"/>
        <item x="448"/>
        <item x="905"/>
        <item x="233"/>
        <item x="321"/>
        <item x="114"/>
        <item x="777"/>
        <item x="22"/>
        <item x="429"/>
        <item x="847"/>
        <item x="574"/>
        <item x="688"/>
        <item x="71"/>
        <item x="894"/>
        <item x="357"/>
        <item x="377"/>
        <item x="661"/>
        <item x="968"/>
        <item x="284"/>
        <item x="868"/>
        <item x="343"/>
        <item x="105"/>
        <item x="64"/>
        <item x="186"/>
        <item x="919"/>
        <item x="686"/>
        <item x="88"/>
        <item x="585"/>
        <item x="218"/>
        <item x="788"/>
        <item x="480"/>
        <item x="122"/>
        <item x="805"/>
        <item x="176"/>
        <item x="742"/>
        <item x="651"/>
        <item x="631"/>
        <item x="977"/>
        <item x="90"/>
        <item x="348"/>
        <item x="933"/>
        <item x="733"/>
        <item x="305"/>
        <item x="848"/>
        <item x="849"/>
        <item x="73"/>
        <item x="278"/>
        <item x="363"/>
        <item x="456"/>
        <item x="9"/>
        <item x="657"/>
        <item x="397"/>
        <item x="845"/>
        <item x="303"/>
        <item x="154"/>
        <item x="13"/>
        <item x="268"/>
        <item x="388"/>
        <item x="791"/>
        <item x="978"/>
        <item x="984"/>
        <item x="573"/>
        <item x="551"/>
        <item x="752"/>
        <item x="443"/>
        <item x="797"/>
        <item x="187"/>
        <item x="891"/>
        <item x="193"/>
        <item x="931"/>
        <item x="239"/>
        <item x="699"/>
        <item x="327"/>
        <item x="792"/>
        <item x="376"/>
        <item x="854"/>
        <item x="600"/>
        <item x="481"/>
        <item x="319"/>
        <item x="149"/>
        <item x="18"/>
        <item x="162"/>
        <item x="197"/>
        <item x="286"/>
        <item x="385"/>
        <item x="852"/>
        <item x="613"/>
        <item x="583"/>
        <item x="250"/>
        <item x="100"/>
        <item x="287"/>
        <item x="195"/>
        <item x="606"/>
        <item x="234"/>
        <item x="395"/>
        <item x="157"/>
        <item x="665"/>
        <item x="219"/>
        <item x="210"/>
        <item x="495"/>
        <item x="654"/>
        <item x="247"/>
        <item x="198"/>
        <item x="545"/>
        <item x="1"/>
        <item x="473"/>
        <item x="398"/>
        <item x="107"/>
        <item x="207"/>
        <item x="960"/>
        <item x="536"/>
        <item x="211"/>
        <item x="334"/>
        <item x="272"/>
        <item x="625"/>
        <item x="209"/>
        <item x="898"/>
        <item x="974"/>
        <item x="309"/>
        <item x="32"/>
        <item x="192"/>
        <item x="464"/>
        <item x="776"/>
        <item x="379"/>
        <item x="415"/>
        <item x="112"/>
        <item x="276"/>
        <item x="581"/>
        <item x="224"/>
        <item x="83"/>
        <item x="25"/>
        <item x="16"/>
        <item x="380"/>
        <item x="779"/>
        <item x="131"/>
        <item x="666"/>
        <item x="830"/>
        <item x="696"/>
        <item x="871"/>
        <item x="514"/>
        <item x="146"/>
        <item x="120"/>
        <item x="44"/>
        <item x="116"/>
        <item x="184"/>
        <item x="215"/>
        <item x="875"/>
        <item x="564"/>
        <item x="136"/>
        <item x="620"/>
        <item x="856"/>
        <item x="539"/>
        <item x="422"/>
        <item x="669"/>
        <item x="390"/>
        <item x="541"/>
        <item x="151"/>
        <item x="634"/>
        <item x="369"/>
        <item x="396"/>
        <item x="648"/>
        <item x="869"/>
        <item x="708"/>
        <item x="166"/>
        <item x="963"/>
        <item x="542"/>
        <item x="549"/>
        <item x="706"/>
        <item x="947"/>
        <item x="30"/>
        <item x="150"/>
        <item x="201"/>
        <item x="508"/>
        <item x="497"/>
        <item x="584"/>
        <item x="206"/>
        <item x="692"/>
        <item x="302"/>
        <item x="880"/>
        <item x="115"/>
        <item x="971"/>
        <item x="951"/>
        <item x="643"/>
        <item x="572"/>
        <item x="474"/>
        <item x="836"/>
        <item x="649"/>
        <item x="667"/>
        <item x="647"/>
        <item x="531"/>
        <item x="783"/>
        <item x="885"/>
        <item x="677"/>
        <item x="576"/>
        <item x="91"/>
        <item x="904"/>
        <item x="63"/>
        <item x="161"/>
        <item x="232"/>
        <item x="725"/>
        <item x="972"/>
        <item x="72"/>
        <item x="21"/>
        <item x="148"/>
        <item x="632"/>
        <item x="922"/>
        <item x="621"/>
        <item x="96"/>
        <item x="543"/>
        <item x="223"/>
        <item x="763"/>
        <item x="555"/>
        <item x="633"/>
        <item x="257"/>
        <item x="261"/>
        <item x="489"/>
        <item x="43"/>
        <item x="283"/>
        <item x="167"/>
        <item x="420"/>
        <item x="393"/>
        <item x="826"/>
        <item x="244"/>
        <item x="760"/>
        <item x="340"/>
        <item x="861"/>
        <item x="535"/>
        <item x="138"/>
        <item x="281"/>
        <item x="362"/>
        <item x="365"/>
        <item x="795"/>
        <item x="658"/>
        <item x="521"/>
        <item x="475"/>
        <item x="726"/>
        <item x="940"/>
        <item x="249"/>
        <item x="359"/>
        <item x="921"/>
        <item x="42"/>
        <item x="682"/>
        <item x="139"/>
        <item x="381"/>
        <item x="674"/>
        <item x="351"/>
        <item x="50"/>
        <item x="928"/>
        <item x="386"/>
        <item x="411"/>
        <item x="355"/>
        <item x="439"/>
        <item x="133"/>
        <item x="54"/>
        <item x="503"/>
        <item x="295"/>
        <item x="513"/>
        <item x="10"/>
        <item x="850"/>
        <item x="200"/>
        <item x="520"/>
        <item x="689"/>
        <item x="282"/>
        <item x="835"/>
        <item x="807"/>
        <item x="118"/>
        <item x="339"/>
        <item x="626"/>
        <item x="143"/>
        <item x="144"/>
        <item x="719"/>
        <item x="428"/>
        <item x="870"/>
        <item x="577"/>
        <item x="304"/>
        <item x="132"/>
        <item x="939"/>
        <item x="562"/>
        <item x="721"/>
        <item x="373"/>
        <item x="819"/>
        <item x="553"/>
        <item x="440"/>
        <item x="775"/>
        <item x="493"/>
        <item x="592"/>
        <item x="92"/>
        <item x="335"/>
        <item x="19"/>
        <item x="920"/>
        <item x="457"/>
        <item x="953"/>
        <item x="452"/>
        <item x="981"/>
        <item x="479"/>
        <item x="450"/>
        <item x="367"/>
        <item x="383"/>
        <item x="980"/>
        <item x="516"/>
        <item x="145"/>
        <item x="462"/>
        <item x="818"/>
        <item x="580"/>
        <item x="944"/>
        <item x="610"/>
        <item x="628"/>
        <item x="801"/>
        <item x="74"/>
        <item x="253"/>
        <item x="164"/>
        <item x="33"/>
        <item x="876"/>
        <item x="279"/>
        <item x="414"/>
        <item x="982"/>
        <item x="505"/>
        <item x="344"/>
        <item x="734"/>
        <item x="324"/>
        <item x="680"/>
        <item x="533"/>
        <item x="469"/>
        <item x="460"/>
        <item x="124"/>
        <item x="705"/>
        <item x="879"/>
        <item x="713"/>
        <item x="106"/>
        <item x="130"/>
        <item x="675"/>
        <item x="915"/>
        <item x="745"/>
        <item x="97"/>
        <item x="123"/>
        <item x="356"/>
        <item x="147"/>
        <item x="318"/>
        <item x="109"/>
        <item x="877"/>
        <item x="196"/>
        <item x="918"/>
        <item x="228"/>
        <item x="84"/>
        <item x="659"/>
        <item x="312"/>
        <item x="418"/>
        <item x="430"/>
        <item x="759"/>
        <item x="354"/>
        <item x="954"/>
        <item x="342"/>
        <item x="506"/>
        <item x="913"/>
        <item x="421"/>
        <item x="501"/>
        <item x="36"/>
        <item x="189"/>
        <item x="899"/>
        <item x="855"/>
        <item x="499"/>
        <item x="853"/>
        <item x="966"/>
        <item x="608"/>
        <item x="80"/>
        <item x="433"/>
        <item x="199"/>
        <item x="970"/>
        <item x="181"/>
        <item x="205"/>
        <item x="841"/>
        <item x="749"/>
        <item x="77"/>
        <item x="472"/>
        <item x="594"/>
        <item x="832"/>
        <item x="194"/>
        <item x="888"/>
        <item x="569"/>
        <item x="962"/>
        <item x="325"/>
        <item x="737"/>
        <item x="405"/>
        <item x="946"/>
        <item x="728"/>
        <item x="68"/>
        <item x="642"/>
        <item x="446"/>
        <item x="732"/>
        <item x="108"/>
        <item x="79"/>
        <item x="738"/>
        <item x="817"/>
        <item x="35"/>
        <item x="638"/>
        <item x="20"/>
        <item x="2"/>
        <item x="676"/>
        <item x="596"/>
        <item x="331"/>
        <item x="815"/>
        <item x="89"/>
        <item x="730"/>
        <item x="510"/>
        <item x="169"/>
        <item x="85"/>
        <item x="322"/>
        <item x="41"/>
        <item x="811"/>
        <item x="798"/>
        <item x="432"/>
        <item x="86"/>
        <item x="98"/>
        <item x="751"/>
        <item x="687"/>
        <item x="739"/>
        <item x="69"/>
        <item x="183"/>
        <item x="235"/>
        <item x="547"/>
        <item x="15"/>
        <item x="502"/>
        <item x="609"/>
        <item x="754"/>
        <item x="941"/>
        <item x="17"/>
        <item x="455"/>
        <item x="787"/>
        <item x="129"/>
        <item x="243"/>
        <item x="636"/>
        <item x="736"/>
        <item x="269"/>
        <item x="231"/>
        <item x="681"/>
        <item x="952"/>
        <item x="774"/>
        <item x="178"/>
        <item x="40"/>
        <item x="829"/>
        <item x="153"/>
        <item x="435"/>
        <item x="507"/>
        <item x="718"/>
        <item x="557"/>
        <item x="3"/>
        <item x="417"/>
        <item x="808"/>
        <item x="517"/>
        <item x="623"/>
        <item x="337"/>
        <item x="240"/>
        <item x="155"/>
        <item x="28"/>
        <item x="408"/>
        <item x="598"/>
        <item x="524"/>
        <item x="156"/>
        <item x="893"/>
        <item x="964"/>
        <item x="969"/>
        <item x="825"/>
        <item x="961"/>
        <item x="582"/>
        <item x="544"/>
        <item x="98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1">
    <i>
      <x v="19"/>
    </i>
    <i>
      <x v="23"/>
    </i>
    <i>
      <x v="3"/>
    </i>
    <i>
      <x v="31"/>
    </i>
    <i>
      <x v="30"/>
    </i>
    <i>
      <x v="35"/>
    </i>
    <i>
      <x/>
    </i>
    <i>
      <x v="40"/>
    </i>
    <i>
      <x v="4"/>
    </i>
    <i>
      <x v="32"/>
    </i>
    <i t="grand">
      <x/>
    </i>
  </rowItems>
  <colItems count="1">
    <i/>
  </colItems>
  <dataFields count="1">
    <dataField name="Amount" fld="13" baseField="9" baseItem="19" numFmtId="44"/>
  </dataFields>
  <formats count="2">
    <format dxfId="2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40:B44" firstHeaderRow="1" firstDataRow="1" firstDataCol="1"/>
  <pivotFields count="23"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1"/>
        <item x="0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Amount " fld="13" baseField="5" baseItem="0" numFmtId="44"/>
  </dataFields>
  <formats count="2">
    <format dxfId="4">
      <pivotArea outline="0" collapsedLevelsAreSubtotals="1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Region">
  <location ref="A30:B36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0"/>
        <item x="3"/>
        <item x="2"/>
        <item x="4"/>
        <item x="1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multipleItemSelectionAllowed="1" showAll="0">
      <items count="7">
        <item h="1" x="3"/>
        <item h="1" x="1"/>
        <item h="1" x="2"/>
        <item x="0"/>
        <item h="1" x="4"/>
        <item h="1" x="5"/>
        <item t="default"/>
      </items>
    </pivotField>
    <pivotField showAll="0"/>
    <pivotField showAll="0"/>
    <pivotField showAll="0"/>
  </pivotFields>
  <rowFields count="1">
    <field x="6"/>
  </rowFields>
  <rowItems count="6">
    <i>
      <x v="3"/>
    </i>
    <i>
      <x v="2"/>
    </i>
    <i>
      <x v="1"/>
    </i>
    <i>
      <x v="4"/>
    </i>
    <i>
      <x/>
    </i>
    <i t="grand">
      <x/>
    </i>
  </rowItems>
  <colItems count="1">
    <i/>
  </colItems>
  <dataFields count="1">
    <dataField name="Shipping Cost  " fld="15" subtotal="count" baseField="6" baseItem="0" numFmtId="164"/>
  </dataFields>
  <formats count="2">
    <format dxfId="6">
      <pivotArea outline="0" collapsedLevelsAreSubtotals="1" fieldPosition="0"/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U1002" totalsRowShown="0" headerRowDxfId="8">
  <autoFilter ref="A1:U1002"/>
  <tableColumns count="21">
    <tableColumn id="1" name="Order_ID"/>
    <tableColumn id="2" name="Order_Date" dataDxfId="0"/>
    <tableColumn id="3" name="Customer_Id"/>
    <tableColumn id="6" name="Gender"/>
    <tableColumn id="7" name="Region"/>
    <tableColumn id="8" name="City"/>
    <tableColumn id="9" name="Product_Category"/>
    <tableColumn id="10" name="Product_Name"/>
    <tableColumn id="11" name="Quantity"/>
    <tableColumn id="12" name="Unit_Price  "/>
    <tableColumn id="13" name="Discount_Pct"/>
    <tableColumn id="14" name="Sales_Amount "/>
    <tableColumn id="15" name="Profit  "/>
    <tableColumn id="16" name="Shipping_Cost  "/>
    <tableColumn id="17" name="Payment_Method"/>
    <tableColumn id="18" name="Customer_Satisfaction"/>
    <tableColumn id="19" name="Return_Flag"/>
    <tableColumn id="20" name="Order_Status"/>
    <tableColumn id="21" name="Days_To_Ship"/>
    <tableColumn id="23" name="Age Range"/>
    <tableColumn id="22" name="Delayed_Status" dataDxfId="7">
      <calculatedColumnFormula>IF(S2 &lt;=4, "Okay", IF(S2 &lt;=7, "Delayed", "Over Delayed"))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7"/>
  <sheetViews>
    <sheetView workbookViewId="0"/>
  </sheetViews>
  <sheetFormatPr defaultRowHeight="14.5" x14ac:dyDescent="0.35"/>
  <sheetData>
    <row r="1" spans="1:21" x14ac:dyDescent="0.35">
      <c r="A1" t="s">
        <v>2151</v>
      </c>
      <c r="B1" t="s">
        <v>2152</v>
      </c>
      <c r="C1" t="s">
        <v>2153</v>
      </c>
      <c r="D1" t="s">
        <v>2154</v>
      </c>
      <c r="E1" t="s">
        <v>2155</v>
      </c>
      <c r="F1" t="s">
        <v>2156</v>
      </c>
      <c r="G1" t="s">
        <v>2157</v>
      </c>
      <c r="H1" t="s">
        <v>2158</v>
      </c>
      <c r="I1" t="s">
        <v>2159</v>
      </c>
      <c r="J1" t="s">
        <v>2160</v>
      </c>
      <c r="K1" t="s">
        <v>2161</v>
      </c>
      <c r="L1" t="s">
        <v>2162</v>
      </c>
      <c r="M1" t="s">
        <v>2163</v>
      </c>
      <c r="N1" t="s">
        <v>2164</v>
      </c>
      <c r="O1" t="s">
        <v>2165</v>
      </c>
      <c r="P1" t="s">
        <v>2166</v>
      </c>
      <c r="Q1" t="s">
        <v>2167</v>
      </c>
      <c r="R1" t="s">
        <v>2168</v>
      </c>
      <c r="S1" t="s">
        <v>2169</v>
      </c>
      <c r="T1" t="s">
        <v>2170</v>
      </c>
      <c r="U1" t="s">
        <v>2171</v>
      </c>
    </row>
    <row r="2" spans="1:21" x14ac:dyDescent="0.35">
      <c r="A2" t="s">
        <v>0</v>
      </c>
      <c r="B2">
        <v>45519</v>
      </c>
      <c r="C2" t="s">
        <v>1</v>
      </c>
      <c r="D2" t="s">
        <v>2</v>
      </c>
      <c r="E2">
        <v>39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>
        <v>8</v>
      </c>
      <c r="L2">
        <v>346.32</v>
      </c>
      <c r="N2">
        <v>4043.14</v>
      </c>
      <c r="O2">
        <v>289.18</v>
      </c>
      <c r="P2">
        <v>56.04</v>
      </c>
      <c r="Q2" t="s">
        <v>8</v>
      </c>
      <c r="S2" t="b">
        <v>1</v>
      </c>
      <c r="T2" t="s">
        <v>9</v>
      </c>
      <c r="U2">
        <v>7</v>
      </c>
    </row>
    <row r="3" spans="1:21" x14ac:dyDescent="0.35">
      <c r="A3" t="s">
        <v>10</v>
      </c>
      <c r="B3">
        <v>44789</v>
      </c>
      <c r="C3" t="s">
        <v>11</v>
      </c>
      <c r="D3" t="s">
        <v>12</v>
      </c>
      <c r="E3">
        <v>28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>
        <v>8</v>
      </c>
      <c r="L3">
        <v>858.66</v>
      </c>
      <c r="M3">
        <v>0.08</v>
      </c>
      <c r="N3">
        <v>9147.31</v>
      </c>
      <c r="O3">
        <v>5355.56</v>
      </c>
      <c r="P3">
        <v>64.489999999999995</v>
      </c>
      <c r="Q3" t="s">
        <v>8</v>
      </c>
      <c r="R3">
        <v>5</v>
      </c>
      <c r="S3" t="b">
        <v>0</v>
      </c>
      <c r="T3" t="s">
        <v>18</v>
      </c>
      <c r="U3">
        <v>2</v>
      </c>
    </row>
    <row r="4" spans="1:21" x14ac:dyDescent="0.35">
      <c r="A4" t="s">
        <v>19</v>
      </c>
      <c r="B4">
        <v>44437</v>
      </c>
      <c r="C4" t="s">
        <v>20</v>
      </c>
      <c r="D4" t="s">
        <v>21</v>
      </c>
      <c r="E4">
        <v>41</v>
      </c>
      <c r="F4" t="s">
        <v>3</v>
      </c>
      <c r="G4" t="s">
        <v>14</v>
      </c>
      <c r="H4" t="s">
        <v>22</v>
      </c>
      <c r="I4" t="s">
        <v>23</v>
      </c>
      <c r="J4" t="s">
        <v>24</v>
      </c>
      <c r="K4">
        <v>4</v>
      </c>
      <c r="L4">
        <v>25941.32</v>
      </c>
      <c r="M4">
        <v>0.14000000000000001</v>
      </c>
      <c r="N4">
        <v>110156.97</v>
      </c>
      <c r="O4">
        <v>36956.51</v>
      </c>
      <c r="P4">
        <v>67.650000000000006</v>
      </c>
      <c r="Q4" t="s">
        <v>8</v>
      </c>
      <c r="R4">
        <v>4</v>
      </c>
      <c r="S4" t="b">
        <v>0</v>
      </c>
      <c r="T4" t="s">
        <v>18</v>
      </c>
      <c r="U4">
        <v>5</v>
      </c>
    </row>
    <row r="5" spans="1:21" x14ac:dyDescent="0.35">
      <c r="A5" t="s">
        <v>25</v>
      </c>
      <c r="B5">
        <v>44747</v>
      </c>
      <c r="C5" t="s">
        <v>26</v>
      </c>
      <c r="D5" t="s">
        <v>27</v>
      </c>
      <c r="E5">
        <v>29</v>
      </c>
      <c r="F5" t="s">
        <v>3</v>
      </c>
      <c r="G5" t="s">
        <v>14</v>
      </c>
      <c r="H5" t="s">
        <v>28</v>
      </c>
      <c r="I5" t="s">
        <v>23</v>
      </c>
      <c r="J5" t="s">
        <v>29</v>
      </c>
      <c r="K5">
        <v>9</v>
      </c>
      <c r="L5">
        <v>22071.919999999998</v>
      </c>
      <c r="M5">
        <v>0.17</v>
      </c>
      <c r="N5">
        <v>262066.11</v>
      </c>
      <c r="O5">
        <v>66644.990000000005</v>
      </c>
      <c r="P5">
        <v>54.47</v>
      </c>
      <c r="Q5" t="s">
        <v>30</v>
      </c>
      <c r="R5">
        <v>3</v>
      </c>
      <c r="S5" t="b">
        <v>0</v>
      </c>
      <c r="T5" t="s">
        <v>18</v>
      </c>
      <c r="U5">
        <v>4</v>
      </c>
    </row>
    <row r="6" spans="1:21" x14ac:dyDescent="0.35">
      <c r="A6" t="s">
        <v>31</v>
      </c>
      <c r="B6">
        <v>43958</v>
      </c>
      <c r="C6" t="s">
        <v>32</v>
      </c>
      <c r="D6" t="s">
        <v>33</v>
      </c>
      <c r="E6">
        <v>9</v>
      </c>
      <c r="F6" t="s">
        <v>13</v>
      </c>
      <c r="G6" t="s">
        <v>4</v>
      </c>
      <c r="H6" t="s">
        <v>34</v>
      </c>
      <c r="I6" t="s">
        <v>6</v>
      </c>
      <c r="J6" t="s">
        <v>35</v>
      </c>
      <c r="K6">
        <v>1</v>
      </c>
      <c r="L6">
        <v>320.06</v>
      </c>
      <c r="M6">
        <v>0.31</v>
      </c>
      <c r="N6">
        <v>323.95</v>
      </c>
      <c r="O6">
        <v>31.38</v>
      </c>
      <c r="P6">
        <v>48.81</v>
      </c>
      <c r="Q6" t="s">
        <v>36</v>
      </c>
      <c r="R6">
        <v>4</v>
      </c>
      <c r="S6" t="b">
        <v>0</v>
      </c>
      <c r="T6" t="s">
        <v>37</v>
      </c>
      <c r="U6">
        <v>4</v>
      </c>
    </row>
    <row r="7" spans="1:21" x14ac:dyDescent="0.35">
      <c r="A7" t="s">
        <v>38</v>
      </c>
      <c r="B7">
        <v>45331</v>
      </c>
      <c r="C7" t="s">
        <v>39</v>
      </c>
      <c r="D7" t="s">
        <v>40</v>
      </c>
      <c r="E7">
        <v>29</v>
      </c>
      <c r="F7" t="s">
        <v>13</v>
      </c>
      <c r="G7" t="s">
        <v>14</v>
      </c>
      <c r="H7" t="s">
        <v>22</v>
      </c>
      <c r="I7" t="s">
        <v>41</v>
      </c>
      <c r="J7" t="s">
        <v>42</v>
      </c>
      <c r="K7">
        <v>2</v>
      </c>
      <c r="L7">
        <v>949.5</v>
      </c>
      <c r="M7">
        <v>0.22</v>
      </c>
      <c r="N7">
        <v>2202.33</v>
      </c>
      <c r="O7">
        <v>964.66</v>
      </c>
      <c r="P7">
        <v>62.42</v>
      </c>
      <c r="Q7" t="s">
        <v>43</v>
      </c>
      <c r="R7">
        <v>2</v>
      </c>
      <c r="S7" t="b">
        <v>1</v>
      </c>
      <c r="T7" t="s">
        <v>9</v>
      </c>
      <c r="U7">
        <v>8</v>
      </c>
    </row>
    <row r="8" spans="1:21" x14ac:dyDescent="0.35">
      <c r="A8" t="s">
        <v>44</v>
      </c>
      <c r="B8">
        <v>44467</v>
      </c>
      <c r="C8" t="s">
        <v>45</v>
      </c>
      <c r="D8" t="s">
        <v>46</v>
      </c>
      <c r="E8">
        <v>31</v>
      </c>
      <c r="F8" t="s">
        <v>47</v>
      </c>
      <c r="G8" t="s">
        <v>4</v>
      </c>
      <c r="H8" t="s">
        <v>48</v>
      </c>
      <c r="I8" t="s">
        <v>41</v>
      </c>
      <c r="J8" t="s">
        <v>42</v>
      </c>
      <c r="K8">
        <v>3</v>
      </c>
      <c r="L8">
        <v>329.03</v>
      </c>
      <c r="M8">
        <v>0.02</v>
      </c>
      <c r="N8">
        <v>994.87</v>
      </c>
      <c r="O8">
        <v>375.07</v>
      </c>
      <c r="P8">
        <v>77.34</v>
      </c>
      <c r="Q8" t="s">
        <v>49</v>
      </c>
      <c r="R8">
        <v>5</v>
      </c>
      <c r="S8" t="b">
        <v>1</v>
      </c>
      <c r="T8" t="s">
        <v>9</v>
      </c>
      <c r="U8">
        <v>10</v>
      </c>
    </row>
    <row r="9" spans="1:21" x14ac:dyDescent="0.35">
      <c r="A9" t="s">
        <v>50</v>
      </c>
      <c r="B9">
        <v>45087</v>
      </c>
      <c r="C9" t="s">
        <v>51</v>
      </c>
      <c r="D9" t="s">
        <v>52</v>
      </c>
      <c r="E9">
        <v>43</v>
      </c>
      <c r="F9" t="s">
        <v>47</v>
      </c>
      <c r="G9" t="s">
        <v>53</v>
      </c>
      <c r="H9" t="s">
        <v>54</v>
      </c>
      <c r="I9" t="s">
        <v>55</v>
      </c>
      <c r="J9" t="s">
        <v>56</v>
      </c>
      <c r="K9">
        <v>1</v>
      </c>
      <c r="L9">
        <v>1356.6</v>
      </c>
      <c r="M9">
        <v>0.01</v>
      </c>
      <c r="N9">
        <v>2140.41</v>
      </c>
      <c r="O9">
        <v>717.27</v>
      </c>
      <c r="P9">
        <v>82.68</v>
      </c>
      <c r="Q9" t="s">
        <v>57</v>
      </c>
      <c r="R9">
        <v>1</v>
      </c>
      <c r="S9" t="b">
        <v>0</v>
      </c>
      <c r="T9" t="s">
        <v>18</v>
      </c>
      <c r="U9">
        <v>4</v>
      </c>
    </row>
    <row r="10" spans="1:21" x14ac:dyDescent="0.35">
      <c r="A10" t="s">
        <v>58</v>
      </c>
      <c r="B10">
        <v>44036</v>
      </c>
      <c r="C10" t="s">
        <v>59</v>
      </c>
      <c r="D10" t="s">
        <v>60</v>
      </c>
      <c r="E10">
        <v>44</v>
      </c>
      <c r="F10" t="s">
        <v>47</v>
      </c>
      <c r="G10" t="s">
        <v>61</v>
      </c>
      <c r="H10" t="s">
        <v>62</v>
      </c>
      <c r="I10" t="s">
        <v>41</v>
      </c>
      <c r="J10" t="s">
        <v>42</v>
      </c>
      <c r="K10">
        <v>8</v>
      </c>
      <c r="L10">
        <v>495.77</v>
      </c>
      <c r="M10">
        <v>0.37</v>
      </c>
      <c r="N10">
        <v>2828.82</v>
      </c>
      <c r="O10">
        <v>1338.88</v>
      </c>
      <c r="P10">
        <v>84.5</v>
      </c>
      <c r="Q10" t="s">
        <v>8</v>
      </c>
      <c r="R10">
        <v>1</v>
      </c>
      <c r="S10" t="b">
        <v>0</v>
      </c>
      <c r="T10" t="s">
        <v>63</v>
      </c>
      <c r="U10">
        <v>10</v>
      </c>
    </row>
    <row r="11" spans="1:21" x14ac:dyDescent="0.35">
      <c r="A11" t="s">
        <v>64</v>
      </c>
      <c r="B11">
        <v>43870</v>
      </c>
      <c r="C11" t="s">
        <v>65</v>
      </c>
      <c r="D11" t="s">
        <v>66</v>
      </c>
      <c r="E11">
        <v>17</v>
      </c>
      <c r="F11" t="s">
        <v>2172</v>
      </c>
      <c r="G11" t="s">
        <v>61</v>
      </c>
      <c r="H11" t="s">
        <v>62</v>
      </c>
      <c r="I11" t="s">
        <v>55</v>
      </c>
      <c r="J11" t="s">
        <v>67</v>
      </c>
      <c r="K11">
        <v>9</v>
      </c>
      <c r="L11">
        <v>2128.77</v>
      </c>
      <c r="M11">
        <v>0.1</v>
      </c>
      <c r="N11">
        <v>14568.16</v>
      </c>
      <c r="O11">
        <v>4173.45</v>
      </c>
      <c r="P11">
        <v>75.33</v>
      </c>
      <c r="Q11" t="s">
        <v>57</v>
      </c>
      <c r="R11">
        <v>3</v>
      </c>
      <c r="S11" t="b">
        <v>0</v>
      </c>
      <c r="T11" t="s">
        <v>18</v>
      </c>
      <c r="U11">
        <v>8</v>
      </c>
    </row>
    <row r="12" spans="1:21" x14ac:dyDescent="0.35">
      <c r="A12" t="s">
        <v>68</v>
      </c>
      <c r="B12">
        <v>43986</v>
      </c>
      <c r="C12" t="s">
        <v>69</v>
      </c>
      <c r="D12" t="s">
        <v>70</v>
      </c>
      <c r="E12">
        <v>51</v>
      </c>
      <c r="F12" t="s">
        <v>3</v>
      </c>
      <c r="G12" t="s">
        <v>4</v>
      </c>
      <c r="H12" t="s">
        <v>5</v>
      </c>
      <c r="I12" t="s">
        <v>23</v>
      </c>
      <c r="J12" t="s">
        <v>71</v>
      </c>
      <c r="K12">
        <v>3</v>
      </c>
      <c r="L12">
        <v>24460.799999999999</v>
      </c>
      <c r="M12">
        <v>0.15</v>
      </c>
      <c r="N12">
        <v>86997.39</v>
      </c>
      <c r="O12">
        <v>14762.22</v>
      </c>
      <c r="P12">
        <v>60.11</v>
      </c>
      <c r="Q12" t="s">
        <v>57</v>
      </c>
      <c r="R12">
        <v>1</v>
      </c>
      <c r="S12" t="b">
        <v>0</v>
      </c>
      <c r="T12" t="s">
        <v>18</v>
      </c>
      <c r="U12">
        <v>8</v>
      </c>
    </row>
    <row r="13" spans="1:21" x14ac:dyDescent="0.35">
      <c r="A13" t="s">
        <v>72</v>
      </c>
      <c r="B13">
        <v>44589</v>
      </c>
      <c r="C13" t="s">
        <v>73</v>
      </c>
      <c r="D13" t="s">
        <v>74</v>
      </c>
      <c r="E13">
        <v>14</v>
      </c>
      <c r="F13" t="s">
        <v>47</v>
      </c>
      <c r="G13" t="s">
        <v>14</v>
      </c>
      <c r="H13" t="s">
        <v>28</v>
      </c>
      <c r="I13" t="s">
        <v>6</v>
      </c>
      <c r="J13" t="s">
        <v>75</v>
      </c>
      <c r="K13">
        <v>2</v>
      </c>
      <c r="L13">
        <v>274.81</v>
      </c>
      <c r="M13">
        <v>0.15</v>
      </c>
      <c r="N13">
        <v>379.5</v>
      </c>
      <c r="O13">
        <v>24.26</v>
      </c>
      <c r="P13">
        <v>46.69</v>
      </c>
      <c r="Q13" t="s">
        <v>30</v>
      </c>
      <c r="R13">
        <v>4</v>
      </c>
      <c r="S13" t="b">
        <v>0</v>
      </c>
      <c r="T13" t="s">
        <v>18</v>
      </c>
      <c r="U13">
        <v>4</v>
      </c>
    </row>
    <row r="14" spans="1:21" x14ac:dyDescent="0.35">
      <c r="A14" t="s">
        <v>76</v>
      </c>
      <c r="B14">
        <v>44818</v>
      </c>
      <c r="C14" t="s">
        <v>77</v>
      </c>
      <c r="D14" t="s">
        <v>78</v>
      </c>
      <c r="E14">
        <v>15</v>
      </c>
      <c r="F14" t="s">
        <v>3</v>
      </c>
      <c r="G14" t="s">
        <v>53</v>
      </c>
      <c r="H14" t="s">
        <v>79</v>
      </c>
      <c r="I14" t="s">
        <v>16</v>
      </c>
      <c r="J14" t="s">
        <v>80</v>
      </c>
      <c r="K14">
        <v>7</v>
      </c>
      <c r="L14">
        <v>111.14</v>
      </c>
      <c r="M14">
        <v>0.37</v>
      </c>
      <c r="N14">
        <v>567.33000000000004</v>
      </c>
      <c r="O14">
        <v>305.64999999999998</v>
      </c>
      <c r="P14">
        <v>44.94</v>
      </c>
      <c r="Q14" t="s">
        <v>36</v>
      </c>
      <c r="R14">
        <v>4</v>
      </c>
      <c r="S14" t="b">
        <v>0</v>
      </c>
      <c r="T14" t="s">
        <v>18</v>
      </c>
      <c r="U14">
        <v>9</v>
      </c>
    </row>
    <row r="15" spans="1:21" x14ac:dyDescent="0.35">
      <c r="A15" t="s">
        <v>81</v>
      </c>
      <c r="B15">
        <v>45312</v>
      </c>
      <c r="C15" t="s">
        <v>82</v>
      </c>
      <c r="D15" t="s">
        <v>83</v>
      </c>
      <c r="E15">
        <v>29</v>
      </c>
      <c r="F15" t="s">
        <v>47</v>
      </c>
      <c r="G15" t="s">
        <v>14</v>
      </c>
      <c r="H15" t="s">
        <v>84</v>
      </c>
      <c r="I15" t="s">
        <v>41</v>
      </c>
      <c r="J15" t="s">
        <v>85</v>
      </c>
      <c r="K15">
        <v>10</v>
      </c>
      <c r="L15">
        <v>1492.28</v>
      </c>
      <c r="M15">
        <v>0.38</v>
      </c>
      <c r="N15">
        <v>9315.19</v>
      </c>
      <c r="O15">
        <v>4336.3100000000004</v>
      </c>
      <c r="P15">
        <v>66.67</v>
      </c>
      <c r="Q15" t="s">
        <v>8</v>
      </c>
      <c r="R15">
        <v>3</v>
      </c>
      <c r="S15" t="b">
        <v>1</v>
      </c>
      <c r="T15" t="s">
        <v>9</v>
      </c>
    </row>
    <row r="16" spans="1:21" x14ac:dyDescent="0.35">
      <c r="A16" t="s">
        <v>86</v>
      </c>
      <c r="B16">
        <v>44930</v>
      </c>
      <c r="C16" t="s">
        <v>87</v>
      </c>
      <c r="D16" t="s">
        <v>88</v>
      </c>
      <c r="E16">
        <v>53</v>
      </c>
      <c r="F16" t="s">
        <v>13</v>
      </c>
      <c r="G16" t="s">
        <v>89</v>
      </c>
      <c r="H16" t="s">
        <v>90</v>
      </c>
      <c r="I16" t="s">
        <v>55</v>
      </c>
      <c r="J16" t="s">
        <v>91</v>
      </c>
      <c r="K16">
        <v>9</v>
      </c>
      <c r="L16">
        <v>590.14</v>
      </c>
      <c r="N16">
        <v>4824.04</v>
      </c>
      <c r="O16">
        <v>2277.4</v>
      </c>
      <c r="P16">
        <v>79.19</v>
      </c>
      <c r="Q16" t="s">
        <v>30</v>
      </c>
      <c r="R16">
        <v>1</v>
      </c>
      <c r="S16" t="b">
        <v>0</v>
      </c>
      <c r="T16" t="s">
        <v>18</v>
      </c>
      <c r="U16">
        <v>4</v>
      </c>
    </row>
    <row r="17" spans="1:21" x14ac:dyDescent="0.35">
      <c r="A17" t="s">
        <v>92</v>
      </c>
      <c r="B17">
        <v>45361</v>
      </c>
      <c r="C17" t="s">
        <v>93</v>
      </c>
      <c r="D17" t="s">
        <v>94</v>
      </c>
      <c r="E17">
        <v>30</v>
      </c>
      <c r="F17" t="s">
        <v>47</v>
      </c>
      <c r="G17" t="s">
        <v>89</v>
      </c>
      <c r="H17" t="s">
        <v>90</v>
      </c>
      <c r="I17" t="s">
        <v>23</v>
      </c>
      <c r="J17" t="s">
        <v>95</v>
      </c>
      <c r="K17">
        <v>10</v>
      </c>
      <c r="L17">
        <v>12138.87</v>
      </c>
      <c r="M17">
        <v>0.15</v>
      </c>
      <c r="N17">
        <v>144295.18</v>
      </c>
      <c r="O17">
        <v>50995.28</v>
      </c>
      <c r="P17">
        <v>49.93</v>
      </c>
      <c r="Q17" t="s">
        <v>30</v>
      </c>
      <c r="S17" t="b">
        <v>0</v>
      </c>
      <c r="T17" t="s">
        <v>18</v>
      </c>
      <c r="U17">
        <v>1</v>
      </c>
    </row>
    <row r="18" spans="1:21" x14ac:dyDescent="0.35">
      <c r="A18" t="s">
        <v>96</v>
      </c>
      <c r="B18">
        <v>44634</v>
      </c>
      <c r="C18" t="s">
        <v>97</v>
      </c>
      <c r="D18" t="s">
        <v>98</v>
      </c>
      <c r="E18">
        <v>26</v>
      </c>
      <c r="F18" t="s">
        <v>13</v>
      </c>
      <c r="G18" t="s">
        <v>89</v>
      </c>
      <c r="H18" t="s">
        <v>99</v>
      </c>
      <c r="I18" t="s">
        <v>55</v>
      </c>
      <c r="J18" t="s">
        <v>100</v>
      </c>
      <c r="K18">
        <v>10</v>
      </c>
      <c r="L18">
        <v>1706.05</v>
      </c>
      <c r="M18">
        <v>0.04</v>
      </c>
      <c r="N18">
        <v>17995.41</v>
      </c>
      <c r="O18">
        <v>6453.4</v>
      </c>
      <c r="P18">
        <v>89.15</v>
      </c>
      <c r="Q18" t="s">
        <v>57</v>
      </c>
      <c r="R18">
        <v>5</v>
      </c>
      <c r="S18" t="b">
        <v>0</v>
      </c>
      <c r="T18" t="s">
        <v>18</v>
      </c>
      <c r="U18">
        <v>4</v>
      </c>
    </row>
    <row r="19" spans="1:21" x14ac:dyDescent="0.35">
      <c r="A19" t="s">
        <v>101</v>
      </c>
      <c r="B19">
        <v>45088</v>
      </c>
      <c r="C19" t="s">
        <v>102</v>
      </c>
      <c r="D19" t="s">
        <v>103</v>
      </c>
      <c r="E19">
        <v>15</v>
      </c>
      <c r="F19" t="s">
        <v>13</v>
      </c>
      <c r="G19" t="s">
        <v>61</v>
      </c>
      <c r="H19" t="s">
        <v>104</v>
      </c>
      <c r="I19" t="s">
        <v>105</v>
      </c>
      <c r="J19" t="s">
        <v>106</v>
      </c>
      <c r="K19">
        <v>8</v>
      </c>
      <c r="L19">
        <v>73558.44</v>
      </c>
      <c r="M19">
        <v>0.4</v>
      </c>
      <c r="N19">
        <v>315130.44</v>
      </c>
      <c r="O19">
        <v>53808.65</v>
      </c>
      <c r="P19">
        <v>82.71</v>
      </c>
      <c r="Q19" t="s">
        <v>57</v>
      </c>
      <c r="R19">
        <v>3</v>
      </c>
      <c r="S19" t="b">
        <v>0</v>
      </c>
      <c r="T19" t="s">
        <v>18</v>
      </c>
      <c r="U19">
        <v>6</v>
      </c>
    </row>
    <row r="20" spans="1:21" x14ac:dyDescent="0.35">
      <c r="A20" t="s">
        <v>107</v>
      </c>
      <c r="B20">
        <v>45643</v>
      </c>
      <c r="C20" t="s">
        <v>108</v>
      </c>
      <c r="D20" t="s">
        <v>109</v>
      </c>
      <c r="E20">
        <v>43</v>
      </c>
      <c r="F20" t="s">
        <v>13</v>
      </c>
      <c r="G20" t="s">
        <v>89</v>
      </c>
      <c r="H20" t="s">
        <v>90</v>
      </c>
      <c r="I20" t="s">
        <v>55</v>
      </c>
      <c r="J20" t="s">
        <v>110</v>
      </c>
      <c r="K20">
        <v>5</v>
      </c>
      <c r="L20">
        <v>3006.52</v>
      </c>
      <c r="M20">
        <v>0.12</v>
      </c>
      <c r="N20">
        <v>10622.32</v>
      </c>
      <c r="O20">
        <v>4837.79</v>
      </c>
      <c r="P20">
        <v>75.97</v>
      </c>
      <c r="Q20" t="s">
        <v>49</v>
      </c>
      <c r="R20">
        <v>1</v>
      </c>
      <c r="S20" t="b">
        <v>0</v>
      </c>
      <c r="T20" t="s">
        <v>18</v>
      </c>
      <c r="U20">
        <v>5</v>
      </c>
    </row>
    <row r="21" spans="1:21" x14ac:dyDescent="0.35">
      <c r="A21" t="s">
        <v>111</v>
      </c>
      <c r="B21">
        <v>43849</v>
      </c>
      <c r="C21" t="s">
        <v>112</v>
      </c>
      <c r="D21" t="s">
        <v>113</v>
      </c>
      <c r="E21">
        <v>21</v>
      </c>
      <c r="F21" t="s">
        <v>3</v>
      </c>
      <c r="G21" t="s">
        <v>53</v>
      </c>
      <c r="H21" t="s">
        <v>114</v>
      </c>
      <c r="I21" t="s">
        <v>23</v>
      </c>
      <c r="J21" t="s">
        <v>24</v>
      </c>
      <c r="K21">
        <v>3</v>
      </c>
      <c r="L21">
        <v>34890.629999999997</v>
      </c>
      <c r="M21">
        <v>0.28999999999999998</v>
      </c>
      <c r="N21">
        <v>64727.53</v>
      </c>
      <c r="O21">
        <v>18067.63</v>
      </c>
      <c r="P21">
        <v>40.97</v>
      </c>
      <c r="Q21" t="s">
        <v>36</v>
      </c>
      <c r="R21">
        <v>5</v>
      </c>
      <c r="S21" t="b">
        <v>0</v>
      </c>
      <c r="T21" t="s">
        <v>115</v>
      </c>
      <c r="U21">
        <v>3</v>
      </c>
    </row>
    <row r="22" spans="1:21" x14ac:dyDescent="0.35">
      <c r="A22" t="s">
        <v>116</v>
      </c>
      <c r="B22">
        <v>44705</v>
      </c>
      <c r="C22" t="s">
        <v>117</v>
      </c>
      <c r="D22" t="s">
        <v>118</v>
      </c>
      <c r="E22">
        <v>15</v>
      </c>
      <c r="F22" t="s">
        <v>3</v>
      </c>
      <c r="G22" t="s">
        <v>89</v>
      </c>
      <c r="H22" t="s">
        <v>119</v>
      </c>
      <c r="I22" t="s">
        <v>105</v>
      </c>
      <c r="J22" t="s">
        <v>120</v>
      </c>
      <c r="K22">
        <v>7</v>
      </c>
      <c r="L22">
        <v>48577.53</v>
      </c>
      <c r="M22">
        <v>7.0000000000000007E-2</v>
      </c>
      <c r="N22">
        <v>483408.08</v>
      </c>
      <c r="O22">
        <v>36816.910000000003</v>
      </c>
      <c r="P22">
        <v>57.45</v>
      </c>
      <c r="Q22" t="s">
        <v>30</v>
      </c>
      <c r="R22">
        <v>2</v>
      </c>
      <c r="S22" t="b">
        <v>0</v>
      </c>
      <c r="T22" t="s">
        <v>18</v>
      </c>
      <c r="U22">
        <v>4</v>
      </c>
    </row>
    <row r="23" spans="1:21" x14ac:dyDescent="0.35">
      <c r="A23" t="s">
        <v>121</v>
      </c>
      <c r="B23">
        <v>44272</v>
      </c>
      <c r="C23" t="s">
        <v>122</v>
      </c>
      <c r="D23" t="s">
        <v>123</v>
      </c>
      <c r="E23">
        <v>35</v>
      </c>
      <c r="F23" t="s">
        <v>47</v>
      </c>
      <c r="G23" t="s">
        <v>89</v>
      </c>
      <c r="H23" t="s">
        <v>90</v>
      </c>
      <c r="I23" t="s">
        <v>124</v>
      </c>
      <c r="J23" t="s">
        <v>125</v>
      </c>
      <c r="K23">
        <v>8</v>
      </c>
      <c r="L23">
        <v>7643.4</v>
      </c>
      <c r="M23">
        <v>0.09</v>
      </c>
      <c r="N23">
        <v>61783.199999999997</v>
      </c>
      <c r="O23">
        <v>10099.620000000001</v>
      </c>
      <c r="P23">
        <v>65.760000000000005</v>
      </c>
      <c r="Q23" t="s">
        <v>49</v>
      </c>
      <c r="S23" t="b">
        <v>0</v>
      </c>
      <c r="T23" t="s">
        <v>18</v>
      </c>
      <c r="U23">
        <v>8</v>
      </c>
    </row>
    <row r="24" spans="1:21" x14ac:dyDescent="0.35">
      <c r="A24" t="s">
        <v>126</v>
      </c>
      <c r="B24">
        <v>45013</v>
      </c>
      <c r="C24" t="s">
        <v>127</v>
      </c>
      <c r="D24" t="s">
        <v>128</v>
      </c>
      <c r="E24">
        <v>22</v>
      </c>
      <c r="F24" t="s">
        <v>47</v>
      </c>
      <c r="G24" t="s">
        <v>4</v>
      </c>
      <c r="H24" t="s">
        <v>34</v>
      </c>
      <c r="I24" t="s">
        <v>41</v>
      </c>
      <c r="J24" t="s">
        <v>129</v>
      </c>
      <c r="K24">
        <v>6</v>
      </c>
      <c r="L24">
        <v>1467.54</v>
      </c>
      <c r="M24">
        <v>0.28999999999999998</v>
      </c>
      <c r="N24">
        <v>7477.88</v>
      </c>
      <c r="O24">
        <v>3606.99</v>
      </c>
      <c r="P24">
        <v>50.88</v>
      </c>
      <c r="Q24" t="s">
        <v>57</v>
      </c>
      <c r="S24" t="b">
        <v>0</v>
      </c>
      <c r="T24" t="s">
        <v>18</v>
      </c>
      <c r="U24">
        <v>4</v>
      </c>
    </row>
    <row r="25" spans="1:21" x14ac:dyDescent="0.35">
      <c r="A25" t="s">
        <v>130</v>
      </c>
      <c r="B25">
        <v>45124</v>
      </c>
      <c r="C25" t="s">
        <v>131</v>
      </c>
      <c r="D25" t="s">
        <v>132</v>
      </c>
      <c r="E25">
        <v>30</v>
      </c>
      <c r="F25" t="s">
        <v>13</v>
      </c>
      <c r="G25" t="s">
        <v>89</v>
      </c>
      <c r="H25" t="s">
        <v>99</v>
      </c>
      <c r="I25" t="s">
        <v>41</v>
      </c>
      <c r="J25" t="s">
        <v>42</v>
      </c>
      <c r="L25">
        <v>478.05</v>
      </c>
      <c r="M25">
        <v>0.02</v>
      </c>
      <c r="N25">
        <v>621.35</v>
      </c>
      <c r="O25">
        <v>290.89999999999998</v>
      </c>
      <c r="P25">
        <v>63.7</v>
      </c>
      <c r="Q25" t="s">
        <v>43</v>
      </c>
      <c r="R25">
        <v>2</v>
      </c>
      <c r="S25" t="b">
        <v>0</v>
      </c>
      <c r="T25" t="s">
        <v>18</v>
      </c>
      <c r="U25">
        <v>7</v>
      </c>
    </row>
    <row r="26" spans="1:21" x14ac:dyDescent="0.35">
      <c r="A26" t="s">
        <v>133</v>
      </c>
      <c r="B26">
        <v>45636</v>
      </c>
      <c r="C26" t="s">
        <v>134</v>
      </c>
      <c r="D26" t="s">
        <v>135</v>
      </c>
      <c r="E26">
        <v>44</v>
      </c>
      <c r="F26" t="s">
        <v>47</v>
      </c>
      <c r="G26" t="s">
        <v>4</v>
      </c>
      <c r="H26" t="s">
        <v>34</v>
      </c>
      <c r="I26" t="s">
        <v>41</v>
      </c>
      <c r="J26" t="s">
        <v>42</v>
      </c>
      <c r="K26">
        <v>7</v>
      </c>
      <c r="L26">
        <v>612.70000000000005</v>
      </c>
      <c r="M26">
        <v>0.22</v>
      </c>
      <c r="N26">
        <v>3224.82</v>
      </c>
      <c r="O26">
        <v>991.03</v>
      </c>
      <c r="P26">
        <v>55.8</v>
      </c>
      <c r="Q26" t="s">
        <v>49</v>
      </c>
      <c r="R26">
        <v>5</v>
      </c>
      <c r="S26" t="b">
        <v>0</v>
      </c>
      <c r="T26" t="s">
        <v>18</v>
      </c>
      <c r="U26">
        <v>4</v>
      </c>
    </row>
    <row r="27" spans="1:21" x14ac:dyDescent="0.35">
      <c r="A27" t="s">
        <v>136</v>
      </c>
      <c r="B27">
        <v>45521</v>
      </c>
      <c r="C27" t="s">
        <v>137</v>
      </c>
      <c r="D27" t="s">
        <v>138</v>
      </c>
      <c r="E27">
        <v>31</v>
      </c>
      <c r="F27" t="s">
        <v>3</v>
      </c>
      <c r="G27" t="s">
        <v>14</v>
      </c>
      <c r="H27" t="s">
        <v>22</v>
      </c>
      <c r="I27" t="s">
        <v>124</v>
      </c>
      <c r="J27" t="s">
        <v>139</v>
      </c>
      <c r="K27">
        <v>9</v>
      </c>
      <c r="L27">
        <v>3000.32</v>
      </c>
      <c r="M27">
        <v>0.21</v>
      </c>
      <c r="N27">
        <v>29267.25</v>
      </c>
      <c r="O27">
        <v>6330.95</v>
      </c>
      <c r="P27">
        <v>68.5</v>
      </c>
      <c r="Q27" t="s">
        <v>57</v>
      </c>
      <c r="R27">
        <v>4</v>
      </c>
      <c r="S27" t="b">
        <v>0</v>
      </c>
      <c r="T27" t="s">
        <v>18</v>
      </c>
      <c r="U27">
        <v>9</v>
      </c>
    </row>
    <row r="28" spans="1:21" x14ac:dyDescent="0.35">
      <c r="A28" t="s">
        <v>140</v>
      </c>
      <c r="B28">
        <v>44494</v>
      </c>
      <c r="C28" t="s">
        <v>141</v>
      </c>
      <c r="D28" t="s">
        <v>142</v>
      </c>
      <c r="E28">
        <v>31</v>
      </c>
      <c r="F28" t="s">
        <v>3</v>
      </c>
      <c r="G28" t="s">
        <v>14</v>
      </c>
      <c r="H28" t="s">
        <v>22</v>
      </c>
      <c r="I28" t="s">
        <v>6</v>
      </c>
      <c r="J28" t="s">
        <v>35</v>
      </c>
      <c r="K28">
        <v>2</v>
      </c>
      <c r="L28">
        <v>233.12</v>
      </c>
      <c r="M28">
        <v>0.28000000000000003</v>
      </c>
      <c r="N28">
        <v>322.86</v>
      </c>
      <c r="O28">
        <v>21.37</v>
      </c>
      <c r="P28">
        <v>57.3</v>
      </c>
      <c r="Q28" t="s">
        <v>43</v>
      </c>
      <c r="R28">
        <v>3</v>
      </c>
      <c r="S28" t="b">
        <v>0</v>
      </c>
      <c r="T28" t="s">
        <v>18</v>
      </c>
      <c r="U28">
        <v>7</v>
      </c>
    </row>
    <row r="29" spans="1:21" x14ac:dyDescent="0.35">
      <c r="A29" t="s">
        <v>143</v>
      </c>
      <c r="B29">
        <v>45480</v>
      </c>
      <c r="C29" t="s">
        <v>144</v>
      </c>
      <c r="D29" t="s">
        <v>145</v>
      </c>
      <c r="E29">
        <v>35</v>
      </c>
      <c r="F29" t="s">
        <v>47</v>
      </c>
      <c r="G29" t="s">
        <v>4</v>
      </c>
      <c r="H29" t="s">
        <v>48</v>
      </c>
      <c r="I29" t="s">
        <v>55</v>
      </c>
      <c r="J29" t="s">
        <v>91</v>
      </c>
      <c r="K29">
        <v>2</v>
      </c>
      <c r="L29">
        <v>735.25</v>
      </c>
      <c r="M29">
        <v>0.03</v>
      </c>
      <c r="N29">
        <v>2477.7199999999998</v>
      </c>
      <c r="O29">
        <v>795.65</v>
      </c>
      <c r="P29">
        <v>74.95</v>
      </c>
      <c r="Q29" t="s">
        <v>57</v>
      </c>
      <c r="R29">
        <v>5</v>
      </c>
      <c r="S29" t="b">
        <v>0</v>
      </c>
      <c r="T29" t="s">
        <v>18</v>
      </c>
      <c r="U29">
        <v>8</v>
      </c>
    </row>
    <row r="30" spans="1:21" x14ac:dyDescent="0.35">
      <c r="A30" t="s">
        <v>146</v>
      </c>
      <c r="B30">
        <v>44405</v>
      </c>
      <c r="C30" t="s">
        <v>147</v>
      </c>
      <c r="D30" t="s">
        <v>98</v>
      </c>
      <c r="E30">
        <v>35</v>
      </c>
      <c r="F30" t="s">
        <v>13</v>
      </c>
      <c r="G30" t="s">
        <v>4</v>
      </c>
      <c r="H30" t="s">
        <v>148</v>
      </c>
      <c r="I30" t="s">
        <v>105</v>
      </c>
      <c r="J30" t="s">
        <v>149</v>
      </c>
      <c r="K30">
        <v>9</v>
      </c>
      <c r="L30">
        <v>63147.82</v>
      </c>
      <c r="M30">
        <v>0.14000000000000001</v>
      </c>
      <c r="N30">
        <v>671607.78</v>
      </c>
      <c r="O30">
        <v>86070.79</v>
      </c>
      <c r="P30">
        <v>60.5</v>
      </c>
      <c r="Q30" t="s">
        <v>43</v>
      </c>
      <c r="R30">
        <v>4</v>
      </c>
      <c r="S30" t="b">
        <v>1</v>
      </c>
      <c r="T30" t="s">
        <v>9</v>
      </c>
      <c r="U30">
        <v>3</v>
      </c>
    </row>
    <row r="31" spans="1:21" x14ac:dyDescent="0.35">
      <c r="A31" t="s">
        <v>150</v>
      </c>
      <c r="B31">
        <v>44013</v>
      </c>
      <c r="C31" t="s">
        <v>151</v>
      </c>
      <c r="D31" t="s">
        <v>152</v>
      </c>
      <c r="E31">
        <v>51</v>
      </c>
      <c r="F31" t="s">
        <v>3</v>
      </c>
      <c r="G31" t="s">
        <v>14</v>
      </c>
      <c r="H31" t="s">
        <v>28</v>
      </c>
      <c r="I31" t="s">
        <v>41</v>
      </c>
      <c r="J31" t="s">
        <v>129</v>
      </c>
      <c r="K31">
        <v>8</v>
      </c>
      <c r="L31">
        <v>635.66</v>
      </c>
      <c r="M31">
        <v>0.34</v>
      </c>
      <c r="N31">
        <v>3704.84</v>
      </c>
      <c r="O31">
        <v>1269.07</v>
      </c>
      <c r="P31">
        <v>67.010000000000005</v>
      </c>
      <c r="Q31" t="s">
        <v>43</v>
      </c>
      <c r="R31">
        <v>1</v>
      </c>
      <c r="S31" t="b">
        <v>0</v>
      </c>
      <c r="T31" t="s">
        <v>18</v>
      </c>
      <c r="U31">
        <v>3</v>
      </c>
    </row>
    <row r="32" spans="1:21" x14ac:dyDescent="0.35">
      <c r="A32" t="s">
        <v>153</v>
      </c>
      <c r="B32">
        <v>44649</v>
      </c>
      <c r="C32" t="s">
        <v>154</v>
      </c>
      <c r="D32" t="s">
        <v>155</v>
      </c>
      <c r="E32">
        <v>28</v>
      </c>
      <c r="F32" t="s">
        <v>13</v>
      </c>
      <c r="G32" t="s">
        <v>89</v>
      </c>
      <c r="H32" t="s">
        <v>90</v>
      </c>
      <c r="I32" t="s">
        <v>124</v>
      </c>
      <c r="J32" t="s">
        <v>156</v>
      </c>
      <c r="K32">
        <v>7</v>
      </c>
      <c r="L32">
        <v>6478.95</v>
      </c>
      <c r="M32">
        <v>0.22</v>
      </c>
      <c r="N32">
        <v>43346.6</v>
      </c>
      <c r="O32">
        <v>8443.99</v>
      </c>
      <c r="P32">
        <v>69.59</v>
      </c>
      <c r="Q32" t="s">
        <v>30</v>
      </c>
      <c r="R32">
        <v>1</v>
      </c>
      <c r="S32" t="b">
        <v>0</v>
      </c>
      <c r="T32" t="s">
        <v>18</v>
      </c>
      <c r="U32">
        <v>2</v>
      </c>
    </row>
    <row r="33" spans="1:21" x14ac:dyDescent="0.35">
      <c r="A33" t="s">
        <v>157</v>
      </c>
      <c r="B33">
        <v>44995</v>
      </c>
      <c r="C33" t="s">
        <v>158</v>
      </c>
      <c r="D33" t="s">
        <v>159</v>
      </c>
      <c r="E33">
        <v>41</v>
      </c>
      <c r="F33" t="s">
        <v>13</v>
      </c>
      <c r="G33" t="s">
        <v>89</v>
      </c>
      <c r="H33" t="s">
        <v>90</v>
      </c>
      <c r="I33" t="s">
        <v>16</v>
      </c>
      <c r="J33" t="s">
        <v>160</v>
      </c>
      <c r="K33">
        <v>3</v>
      </c>
      <c r="L33">
        <v>1290.21</v>
      </c>
      <c r="M33">
        <v>0.12</v>
      </c>
      <c r="N33">
        <v>3690.09</v>
      </c>
      <c r="O33">
        <v>1777.76</v>
      </c>
      <c r="P33">
        <v>64.97</v>
      </c>
      <c r="Q33" t="s">
        <v>43</v>
      </c>
      <c r="R33">
        <v>3</v>
      </c>
      <c r="S33" t="b">
        <v>0</v>
      </c>
      <c r="T33" t="s">
        <v>18</v>
      </c>
      <c r="U33">
        <v>5</v>
      </c>
    </row>
    <row r="34" spans="1:21" x14ac:dyDescent="0.35">
      <c r="A34" t="s">
        <v>161</v>
      </c>
      <c r="B34">
        <v>44254</v>
      </c>
      <c r="C34" t="s">
        <v>162</v>
      </c>
      <c r="D34" t="s">
        <v>163</v>
      </c>
      <c r="E34">
        <v>29</v>
      </c>
      <c r="F34" t="s">
        <v>47</v>
      </c>
      <c r="G34" t="s">
        <v>4</v>
      </c>
      <c r="H34" t="s">
        <v>34</v>
      </c>
      <c r="I34" t="s">
        <v>23</v>
      </c>
      <c r="J34" t="s">
        <v>164</v>
      </c>
      <c r="K34">
        <v>1</v>
      </c>
      <c r="L34">
        <v>33537.06</v>
      </c>
      <c r="M34">
        <v>0.25</v>
      </c>
      <c r="N34">
        <v>24565.06</v>
      </c>
      <c r="O34">
        <v>5814.79</v>
      </c>
      <c r="P34">
        <v>56.47</v>
      </c>
      <c r="Q34" t="s">
        <v>8</v>
      </c>
      <c r="R34">
        <v>4</v>
      </c>
      <c r="S34" t="b">
        <v>0</v>
      </c>
      <c r="T34" t="s">
        <v>18</v>
      </c>
      <c r="U34">
        <v>2</v>
      </c>
    </row>
    <row r="35" spans="1:21" x14ac:dyDescent="0.35">
      <c r="A35" t="s">
        <v>165</v>
      </c>
      <c r="B35">
        <v>45314</v>
      </c>
      <c r="C35" t="s">
        <v>166</v>
      </c>
      <c r="D35" t="s">
        <v>167</v>
      </c>
      <c r="E35">
        <v>20</v>
      </c>
      <c r="F35" t="s">
        <v>13</v>
      </c>
      <c r="G35" t="s">
        <v>61</v>
      </c>
      <c r="H35" t="s">
        <v>104</v>
      </c>
      <c r="I35" t="s">
        <v>105</v>
      </c>
      <c r="J35" t="s">
        <v>120</v>
      </c>
      <c r="K35">
        <v>3</v>
      </c>
      <c r="L35">
        <v>64874.09</v>
      </c>
      <c r="M35">
        <v>0.02</v>
      </c>
      <c r="N35">
        <v>177754.39</v>
      </c>
      <c r="O35">
        <v>20320.939999999999</v>
      </c>
      <c r="P35">
        <v>79.56</v>
      </c>
      <c r="Q35" t="s">
        <v>57</v>
      </c>
      <c r="R35">
        <v>1</v>
      </c>
      <c r="S35" t="b">
        <v>0</v>
      </c>
      <c r="T35" t="s">
        <v>18</v>
      </c>
      <c r="U35">
        <v>7</v>
      </c>
    </row>
    <row r="36" spans="1:21" x14ac:dyDescent="0.35">
      <c r="A36" t="s">
        <v>168</v>
      </c>
      <c r="B36">
        <v>44506</v>
      </c>
      <c r="C36" t="s">
        <v>169</v>
      </c>
      <c r="D36" t="s">
        <v>78</v>
      </c>
      <c r="E36">
        <v>65</v>
      </c>
      <c r="F36" t="s">
        <v>3</v>
      </c>
      <c r="G36" t="s">
        <v>53</v>
      </c>
      <c r="H36" t="s">
        <v>170</v>
      </c>
      <c r="I36" t="s">
        <v>41</v>
      </c>
      <c r="J36" t="s">
        <v>129</v>
      </c>
      <c r="K36">
        <v>4</v>
      </c>
      <c r="L36">
        <v>1350.95</v>
      </c>
      <c r="M36">
        <v>0.21</v>
      </c>
      <c r="N36">
        <v>3635.51</v>
      </c>
      <c r="O36">
        <v>1854.28</v>
      </c>
      <c r="P36">
        <v>44.83</v>
      </c>
      <c r="Q36" t="s">
        <v>49</v>
      </c>
      <c r="R36">
        <v>3</v>
      </c>
      <c r="S36" t="b">
        <v>0</v>
      </c>
      <c r="T36" t="s">
        <v>18</v>
      </c>
      <c r="U36">
        <v>2</v>
      </c>
    </row>
    <row r="37" spans="1:21" x14ac:dyDescent="0.35">
      <c r="A37" t="s">
        <v>171</v>
      </c>
      <c r="B37">
        <v>45587</v>
      </c>
      <c r="C37" t="s">
        <v>172</v>
      </c>
      <c r="D37" t="s">
        <v>173</v>
      </c>
      <c r="E37">
        <v>26</v>
      </c>
      <c r="F37" t="s">
        <v>3</v>
      </c>
      <c r="G37" t="s">
        <v>53</v>
      </c>
      <c r="H37" t="s">
        <v>54</v>
      </c>
      <c r="I37" t="s">
        <v>105</v>
      </c>
      <c r="J37" t="s">
        <v>174</v>
      </c>
      <c r="K37">
        <v>3</v>
      </c>
      <c r="L37">
        <v>68799.42</v>
      </c>
      <c r="M37">
        <v>7.0000000000000007E-2</v>
      </c>
      <c r="N37">
        <v>232621.97</v>
      </c>
      <c r="O37">
        <v>36091.769999999997</v>
      </c>
      <c r="P37">
        <v>48.01</v>
      </c>
      <c r="Q37" t="s">
        <v>57</v>
      </c>
      <c r="R37">
        <v>1</v>
      </c>
      <c r="S37" t="b">
        <v>0</v>
      </c>
      <c r="T37" t="s">
        <v>175</v>
      </c>
      <c r="U37">
        <v>7</v>
      </c>
    </row>
    <row r="38" spans="1:21" x14ac:dyDescent="0.35">
      <c r="A38" t="s">
        <v>176</v>
      </c>
      <c r="B38">
        <v>44943</v>
      </c>
      <c r="C38" t="s">
        <v>177</v>
      </c>
      <c r="D38" t="s">
        <v>178</v>
      </c>
      <c r="E38">
        <v>35</v>
      </c>
      <c r="F38" t="s">
        <v>13</v>
      </c>
      <c r="G38" t="s">
        <v>53</v>
      </c>
      <c r="H38" t="s">
        <v>54</v>
      </c>
      <c r="I38" t="s">
        <v>23</v>
      </c>
      <c r="J38" t="s">
        <v>24</v>
      </c>
      <c r="K38">
        <v>3</v>
      </c>
      <c r="L38">
        <v>31242.32</v>
      </c>
      <c r="M38">
        <v>0.01</v>
      </c>
      <c r="N38">
        <v>92924.36</v>
      </c>
      <c r="O38">
        <v>27403.47</v>
      </c>
      <c r="P38">
        <v>52.73</v>
      </c>
      <c r="Q38" t="s">
        <v>8</v>
      </c>
      <c r="R38">
        <v>3</v>
      </c>
      <c r="S38" t="b">
        <v>1</v>
      </c>
      <c r="T38" t="s">
        <v>9</v>
      </c>
      <c r="U38">
        <v>4</v>
      </c>
    </row>
    <row r="39" spans="1:21" x14ac:dyDescent="0.35">
      <c r="A39" t="s">
        <v>179</v>
      </c>
      <c r="B39">
        <v>44726</v>
      </c>
      <c r="C39" t="s">
        <v>180</v>
      </c>
      <c r="D39" t="s">
        <v>181</v>
      </c>
      <c r="E39">
        <v>30</v>
      </c>
      <c r="F39" t="s">
        <v>3</v>
      </c>
      <c r="G39" t="s">
        <v>4</v>
      </c>
      <c r="H39" t="s">
        <v>48</v>
      </c>
      <c r="I39" t="s">
        <v>41</v>
      </c>
      <c r="J39" t="s">
        <v>129</v>
      </c>
      <c r="L39">
        <v>1431.29</v>
      </c>
      <c r="M39">
        <v>0.04</v>
      </c>
      <c r="N39">
        <v>1929.4</v>
      </c>
      <c r="O39">
        <v>819.7</v>
      </c>
      <c r="P39">
        <v>70.38</v>
      </c>
      <c r="Q39" t="s">
        <v>49</v>
      </c>
      <c r="R39">
        <v>5</v>
      </c>
      <c r="S39" t="b">
        <v>1</v>
      </c>
      <c r="T39" t="s">
        <v>9</v>
      </c>
      <c r="U39">
        <v>8</v>
      </c>
    </row>
    <row r="40" spans="1:21" x14ac:dyDescent="0.35">
      <c r="A40" t="s">
        <v>182</v>
      </c>
      <c r="B40">
        <v>45473</v>
      </c>
      <c r="C40" t="s">
        <v>183</v>
      </c>
      <c r="D40" t="s">
        <v>184</v>
      </c>
      <c r="E40">
        <v>27</v>
      </c>
      <c r="F40" t="s">
        <v>13</v>
      </c>
      <c r="G40" t="s">
        <v>89</v>
      </c>
      <c r="H40" t="s">
        <v>99</v>
      </c>
      <c r="I40" t="s">
        <v>55</v>
      </c>
      <c r="J40" t="s">
        <v>185</v>
      </c>
      <c r="K40">
        <v>3</v>
      </c>
      <c r="L40">
        <v>1621.83</v>
      </c>
      <c r="M40">
        <v>0.4</v>
      </c>
      <c r="N40">
        <v>4851.55</v>
      </c>
      <c r="O40">
        <v>1799.06</v>
      </c>
      <c r="P40">
        <v>67.23</v>
      </c>
      <c r="Q40" t="s">
        <v>49</v>
      </c>
      <c r="R40">
        <v>2</v>
      </c>
      <c r="S40" t="b">
        <v>0</v>
      </c>
      <c r="T40" t="s">
        <v>18</v>
      </c>
      <c r="U40">
        <v>4</v>
      </c>
    </row>
    <row r="41" spans="1:21" x14ac:dyDescent="0.35">
      <c r="A41" t="s">
        <v>186</v>
      </c>
      <c r="B41">
        <v>43840</v>
      </c>
      <c r="C41" t="s">
        <v>187</v>
      </c>
      <c r="D41" t="s">
        <v>188</v>
      </c>
      <c r="E41">
        <v>52</v>
      </c>
      <c r="F41" t="s">
        <v>47</v>
      </c>
      <c r="G41" t="s">
        <v>14</v>
      </c>
      <c r="H41" t="s">
        <v>15</v>
      </c>
      <c r="I41" t="s">
        <v>41</v>
      </c>
      <c r="J41" t="s">
        <v>85</v>
      </c>
      <c r="K41">
        <v>10</v>
      </c>
      <c r="L41">
        <v>324.41000000000003</v>
      </c>
      <c r="M41">
        <v>0.32</v>
      </c>
      <c r="N41">
        <v>1810.18</v>
      </c>
      <c r="O41">
        <v>903.99</v>
      </c>
      <c r="P41">
        <v>48.24</v>
      </c>
      <c r="Q41" t="s">
        <v>57</v>
      </c>
      <c r="R41">
        <v>3</v>
      </c>
      <c r="S41" t="b">
        <v>0</v>
      </c>
      <c r="T41" t="s">
        <v>18</v>
      </c>
      <c r="U41">
        <v>4</v>
      </c>
    </row>
    <row r="42" spans="1:21" x14ac:dyDescent="0.35">
      <c r="A42" t="s">
        <v>189</v>
      </c>
      <c r="B42">
        <v>45077</v>
      </c>
      <c r="C42" t="s">
        <v>190</v>
      </c>
      <c r="D42" t="s">
        <v>191</v>
      </c>
      <c r="E42">
        <v>42</v>
      </c>
      <c r="F42" t="s">
        <v>47</v>
      </c>
      <c r="G42" t="s">
        <v>4</v>
      </c>
      <c r="H42" t="s">
        <v>148</v>
      </c>
      <c r="I42" t="s">
        <v>23</v>
      </c>
      <c r="J42" t="s">
        <v>71</v>
      </c>
      <c r="K42">
        <v>6</v>
      </c>
      <c r="L42">
        <v>20242.36</v>
      </c>
      <c r="M42">
        <v>0.04</v>
      </c>
      <c r="N42">
        <v>191398.26</v>
      </c>
      <c r="O42">
        <v>59116.34</v>
      </c>
      <c r="P42">
        <v>83.75</v>
      </c>
      <c r="Q42" t="s">
        <v>49</v>
      </c>
      <c r="R42">
        <v>2</v>
      </c>
      <c r="S42" t="b">
        <v>0</v>
      </c>
      <c r="T42" t="s">
        <v>18</v>
      </c>
      <c r="U42">
        <v>9</v>
      </c>
    </row>
    <row r="43" spans="1:21" x14ac:dyDescent="0.35">
      <c r="A43" t="s">
        <v>192</v>
      </c>
      <c r="B43">
        <v>44711</v>
      </c>
      <c r="C43" t="s">
        <v>193</v>
      </c>
      <c r="D43" t="s">
        <v>194</v>
      </c>
      <c r="E43">
        <v>40</v>
      </c>
      <c r="F43" t="s">
        <v>3</v>
      </c>
      <c r="G43" t="s">
        <v>53</v>
      </c>
      <c r="H43" t="s">
        <v>79</v>
      </c>
      <c r="I43" t="s">
        <v>124</v>
      </c>
      <c r="J43" t="s">
        <v>195</v>
      </c>
      <c r="K43">
        <v>9</v>
      </c>
      <c r="L43">
        <v>14422.23</v>
      </c>
      <c r="M43">
        <v>0.21</v>
      </c>
      <c r="N43">
        <v>145427.41</v>
      </c>
      <c r="O43">
        <v>40739.980000000003</v>
      </c>
      <c r="P43">
        <v>58.92</v>
      </c>
      <c r="Q43" t="s">
        <v>30</v>
      </c>
      <c r="R43">
        <v>5</v>
      </c>
      <c r="S43" t="b">
        <v>0</v>
      </c>
      <c r="T43" t="s">
        <v>18</v>
      </c>
      <c r="U43">
        <v>1</v>
      </c>
    </row>
    <row r="44" spans="1:21" x14ac:dyDescent="0.35">
      <c r="A44" t="s">
        <v>196</v>
      </c>
      <c r="B44">
        <v>44013</v>
      </c>
      <c r="C44" t="s">
        <v>197</v>
      </c>
      <c r="D44" t="s">
        <v>198</v>
      </c>
      <c r="E44">
        <v>-6</v>
      </c>
      <c r="F44" t="s">
        <v>47</v>
      </c>
      <c r="G44" t="s">
        <v>53</v>
      </c>
      <c r="H44" t="s">
        <v>170</v>
      </c>
      <c r="I44" t="s">
        <v>23</v>
      </c>
      <c r="J44" t="s">
        <v>199</v>
      </c>
      <c r="K44">
        <v>2</v>
      </c>
      <c r="L44">
        <v>33115.910000000003</v>
      </c>
      <c r="M44">
        <v>0.28000000000000003</v>
      </c>
      <c r="N44">
        <v>53911.88</v>
      </c>
      <c r="O44">
        <v>13232.77</v>
      </c>
      <c r="P44">
        <v>39.83</v>
      </c>
      <c r="Q44" t="s">
        <v>30</v>
      </c>
      <c r="R44">
        <v>5</v>
      </c>
      <c r="S44" t="b">
        <v>0</v>
      </c>
      <c r="T44" t="s">
        <v>18</v>
      </c>
      <c r="U44">
        <v>1</v>
      </c>
    </row>
    <row r="45" spans="1:21" x14ac:dyDescent="0.35">
      <c r="A45" t="s">
        <v>200</v>
      </c>
      <c r="B45">
        <v>45077</v>
      </c>
      <c r="C45" t="s">
        <v>201</v>
      </c>
      <c r="D45" t="s">
        <v>202</v>
      </c>
      <c r="E45">
        <v>49</v>
      </c>
      <c r="F45" t="s">
        <v>47</v>
      </c>
      <c r="G45" t="s">
        <v>53</v>
      </c>
      <c r="H45" t="s">
        <v>54</v>
      </c>
      <c r="I45" t="s">
        <v>124</v>
      </c>
      <c r="J45" t="s">
        <v>156</v>
      </c>
      <c r="K45">
        <v>8</v>
      </c>
      <c r="L45">
        <v>3917.74</v>
      </c>
      <c r="M45">
        <v>0.27</v>
      </c>
      <c r="N45">
        <v>36596.17</v>
      </c>
      <c r="O45">
        <v>11271.87</v>
      </c>
      <c r="P45">
        <v>60.71</v>
      </c>
      <c r="Q45" t="s">
        <v>43</v>
      </c>
      <c r="S45" t="b">
        <v>0</v>
      </c>
      <c r="T45" t="s">
        <v>18</v>
      </c>
      <c r="U45">
        <v>8</v>
      </c>
    </row>
    <row r="46" spans="1:21" x14ac:dyDescent="0.35">
      <c r="A46" t="s">
        <v>203</v>
      </c>
      <c r="B46">
        <v>44174</v>
      </c>
      <c r="C46" t="s">
        <v>204</v>
      </c>
      <c r="D46" t="s">
        <v>205</v>
      </c>
      <c r="E46">
        <v>999</v>
      </c>
      <c r="F46" t="s">
        <v>47</v>
      </c>
      <c r="G46" t="s">
        <v>89</v>
      </c>
      <c r="H46" t="s">
        <v>90</v>
      </c>
      <c r="I46" t="s">
        <v>23</v>
      </c>
      <c r="J46" t="s">
        <v>164</v>
      </c>
      <c r="K46">
        <v>4</v>
      </c>
      <c r="L46">
        <v>11267.5</v>
      </c>
      <c r="M46">
        <v>0.2</v>
      </c>
      <c r="N46">
        <v>24230.41</v>
      </c>
      <c r="O46">
        <v>7321.53</v>
      </c>
      <c r="P46">
        <v>70.73</v>
      </c>
      <c r="Q46" t="s">
        <v>57</v>
      </c>
      <c r="R46">
        <v>4</v>
      </c>
      <c r="S46" t="b">
        <v>0</v>
      </c>
      <c r="T46" t="s">
        <v>18</v>
      </c>
      <c r="U46">
        <v>1</v>
      </c>
    </row>
    <row r="47" spans="1:21" x14ac:dyDescent="0.35">
      <c r="A47" t="s">
        <v>206</v>
      </c>
      <c r="B47">
        <v>45283</v>
      </c>
      <c r="C47" t="s">
        <v>207</v>
      </c>
      <c r="D47" t="s">
        <v>208</v>
      </c>
      <c r="E47">
        <v>34</v>
      </c>
      <c r="F47" t="s">
        <v>13</v>
      </c>
      <c r="G47" t="s">
        <v>61</v>
      </c>
      <c r="H47" t="s">
        <v>62</v>
      </c>
      <c r="I47" t="s">
        <v>16</v>
      </c>
      <c r="J47" t="s">
        <v>209</v>
      </c>
      <c r="K47">
        <v>5</v>
      </c>
      <c r="L47">
        <v>2497.1</v>
      </c>
      <c r="M47">
        <v>0.37</v>
      </c>
      <c r="N47">
        <v>6596.23</v>
      </c>
      <c r="O47">
        <v>2649.2</v>
      </c>
      <c r="P47">
        <v>61.27</v>
      </c>
      <c r="Q47" t="s">
        <v>43</v>
      </c>
      <c r="R47">
        <v>1</v>
      </c>
      <c r="S47" t="b">
        <v>0</v>
      </c>
      <c r="T47" t="s">
        <v>115</v>
      </c>
      <c r="U47">
        <v>5</v>
      </c>
    </row>
    <row r="48" spans="1:21" x14ac:dyDescent="0.35">
      <c r="A48" t="s">
        <v>210</v>
      </c>
      <c r="B48">
        <v>44822</v>
      </c>
      <c r="C48" t="s">
        <v>211</v>
      </c>
      <c r="D48" t="s">
        <v>212</v>
      </c>
      <c r="E48">
        <v>38</v>
      </c>
      <c r="F48" t="s">
        <v>3</v>
      </c>
      <c r="G48" t="s">
        <v>4</v>
      </c>
      <c r="H48" t="s">
        <v>5</v>
      </c>
      <c r="I48" t="s">
        <v>105</v>
      </c>
      <c r="J48" t="s">
        <v>174</v>
      </c>
      <c r="K48">
        <v>5</v>
      </c>
      <c r="L48">
        <v>11463.02</v>
      </c>
      <c r="M48">
        <v>0.34</v>
      </c>
      <c r="N48">
        <v>44107</v>
      </c>
      <c r="O48">
        <v>3355.55</v>
      </c>
      <c r="P48">
        <v>36.32</v>
      </c>
      <c r="Q48" t="s">
        <v>43</v>
      </c>
      <c r="R48">
        <v>5</v>
      </c>
      <c r="S48" t="b">
        <v>0</v>
      </c>
      <c r="T48" t="s">
        <v>18</v>
      </c>
      <c r="U48">
        <v>10</v>
      </c>
    </row>
    <row r="49" spans="1:21" x14ac:dyDescent="0.35">
      <c r="A49" t="s">
        <v>213</v>
      </c>
      <c r="B49">
        <v>45618</v>
      </c>
      <c r="C49" t="s">
        <v>214</v>
      </c>
      <c r="D49" t="s">
        <v>215</v>
      </c>
      <c r="E49">
        <v>57</v>
      </c>
      <c r="F49" t="s">
        <v>47</v>
      </c>
      <c r="G49" t="s">
        <v>4</v>
      </c>
      <c r="H49" t="s">
        <v>148</v>
      </c>
      <c r="I49" t="s">
        <v>41</v>
      </c>
      <c r="J49" t="s">
        <v>129</v>
      </c>
      <c r="K49">
        <v>7</v>
      </c>
      <c r="L49">
        <v>785.67</v>
      </c>
      <c r="M49">
        <v>0.12</v>
      </c>
      <c r="N49">
        <v>4582.79</v>
      </c>
      <c r="O49">
        <v>2037.5</v>
      </c>
      <c r="P49">
        <v>63.64</v>
      </c>
      <c r="Q49" t="s">
        <v>49</v>
      </c>
      <c r="R49">
        <v>3</v>
      </c>
      <c r="S49" t="b">
        <v>0</v>
      </c>
      <c r="T49" t="s">
        <v>18</v>
      </c>
      <c r="U49">
        <v>2</v>
      </c>
    </row>
    <row r="50" spans="1:21" x14ac:dyDescent="0.35">
      <c r="A50" t="s">
        <v>216</v>
      </c>
      <c r="B50">
        <v>44151</v>
      </c>
      <c r="C50" t="s">
        <v>217</v>
      </c>
      <c r="D50" t="s">
        <v>218</v>
      </c>
      <c r="E50">
        <v>36</v>
      </c>
      <c r="F50" t="s">
        <v>47</v>
      </c>
      <c r="G50" t="s">
        <v>53</v>
      </c>
      <c r="H50" t="s">
        <v>79</v>
      </c>
      <c r="I50" t="s">
        <v>55</v>
      </c>
      <c r="J50" t="s">
        <v>185</v>
      </c>
      <c r="K50">
        <v>2</v>
      </c>
      <c r="L50">
        <v>1557.26</v>
      </c>
      <c r="M50">
        <v>0.13</v>
      </c>
      <c r="N50">
        <v>1859.03</v>
      </c>
      <c r="O50">
        <v>840.29</v>
      </c>
      <c r="P50">
        <v>50.66</v>
      </c>
      <c r="Q50" t="s">
        <v>30</v>
      </c>
      <c r="R50">
        <v>2</v>
      </c>
      <c r="S50" t="b">
        <v>0</v>
      </c>
      <c r="T50" t="s">
        <v>18</v>
      </c>
      <c r="U50">
        <v>10</v>
      </c>
    </row>
    <row r="51" spans="1:21" x14ac:dyDescent="0.35">
      <c r="A51" t="s">
        <v>219</v>
      </c>
      <c r="B51">
        <v>44656</v>
      </c>
      <c r="C51" t="s">
        <v>220</v>
      </c>
      <c r="D51" t="s">
        <v>221</v>
      </c>
      <c r="E51">
        <v>48</v>
      </c>
      <c r="F51" t="s">
        <v>13</v>
      </c>
      <c r="G51" t="s">
        <v>61</v>
      </c>
      <c r="H51" t="s">
        <v>222</v>
      </c>
      <c r="I51" t="s">
        <v>6</v>
      </c>
      <c r="J51" t="s">
        <v>35</v>
      </c>
      <c r="K51">
        <v>2</v>
      </c>
      <c r="L51">
        <v>393.55</v>
      </c>
      <c r="M51">
        <v>0.02</v>
      </c>
      <c r="N51">
        <v>1057.6500000000001</v>
      </c>
      <c r="O51">
        <v>87.14</v>
      </c>
      <c r="P51">
        <v>87.03</v>
      </c>
      <c r="Q51" t="s">
        <v>8</v>
      </c>
      <c r="R51">
        <v>1</v>
      </c>
      <c r="S51" t="b">
        <v>0</v>
      </c>
      <c r="T51" t="s">
        <v>18</v>
      </c>
      <c r="U51">
        <v>1</v>
      </c>
    </row>
    <row r="52" spans="1:21" x14ac:dyDescent="0.35">
      <c r="A52" t="s">
        <v>223</v>
      </c>
      <c r="B52">
        <v>44306</v>
      </c>
      <c r="C52" t="s">
        <v>224</v>
      </c>
      <c r="D52" t="s">
        <v>225</v>
      </c>
      <c r="E52">
        <v>34</v>
      </c>
      <c r="F52" t="s">
        <v>47</v>
      </c>
      <c r="G52" t="s">
        <v>53</v>
      </c>
      <c r="H52" t="s">
        <v>79</v>
      </c>
      <c r="I52" t="s">
        <v>124</v>
      </c>
      <c r="J52" t="s">
        <v>139</v>
      </c>
      <c r="K52">
        <v>5</v>
      </c>
      <c r="L52">
        <v>8244.31</v>
      </c>
      <c r="M52">
        <v>0.12</v>
      </c>
      <c r="N52">
        <v>49710.43</v>
      </c>
      <c r="O52">
        <v>13744.26</v>
      </c>
      <c r="P52">
        <v>51.59</v>
      </c>
      <c r="Q52" t="s">
        <v>43</v>
      </c>
      <c r="R52">
        <v>1</v>
      </c>
      <c r="S52" t="b">
        <v>0</v>
      </c>
      <c r="T52" t="s">
        <v>18</v>
      </c>
      <c r="U52">
        <v>4</v>
      </c>
    </row>
    <row r="53" spans="1:21" x14ac:dyDescent="0.35">
      <c r="A53" t="s">
        <v>226</v>
      </c>
      <c r="B53">
        <v>44701</v>
      </c>
      <c r="C53" t="s">
        <v>227</v>
      </c>
      <c r="D53" t="s">
        <v>228</v>
      </c>
      <c r="E53">
        <v>28</v>
      </c>
      <c r="F53" t="s">
        <v>13</v>
      </c>
      <c r="G53" t="s">
        <v>61</v>
      </c>
      <c r="H53" t="s">
        <v>104</v>
      </c>
      <c r="I53" t="s">
        <v>41</v>
      </c>
      <c r="J53" t="s">
        <v>129</v>
      </c>
      <c r="K53">
        <v>5</v>
      </c>
      <c r="L53">
        <v>1063.6199999999999</v>
      </c>
      <c r="M53">
        <v>0.16</v>
      </c>
      <c r="N53">
        <v>6991.06</v>
      </c>
      <c r="O53">
        <v>2963.48</v>
      </c>
      <c r="P53">
        <v>62.28</v>
      </c>
      <c r="Q53" t="s">
        <v>57</v>
      </c>
      <c r="S53" t="b">
        <v>0</v>
      </c>
      <c r="T53" t="s">
        <v>18</v>
      </c>
      <c r="U53">
        <v>5</v>
      </c>
    </row>
    <row r="54" spans="1:21" x14ac:dyDescent="0.35">
      <c r="A54" t="s">
        <v>229</v>
      </c>
      <c r="B54">
        <v>45143</v>
      </c>
      <c r="C54" t="s">
        <v>230</v>
      </c>
      <c r="D54" t="s">
        <v>231</v>
      </c>
      <c r="E54">
        <v>34</v>
      </c>
      <c r="F54" t="s">
        <v>3</v>
      </c>
      <c r="G54" t="s">
        <v>53</v>
      </c>
      <c r="H54" t="s">
        <v>54</v>
      </c>
      <c r="I54" t="s">
        <v>6</v>
      </c>
      <c r="J54" t="s">
        <v>7</v>
      </c>
      <c r="K54">
        <v>7</v>
      </c>
      <c r="L54">
        <v>315.62</v>
      </c>
      <c r="M54">
        <v>0.28000000000000003</v>
      </c>
      <c r="N54">
        <v>2026.01</v>
      </c>
      <c r="O54">
        <v>104.43</v>
      </c>
      <c r="P54">
        <v>72.63</v>
      </c>
      <c r="Q54" t="s">
        <v>49</v>
      </c>
      <c r="R54">
        <v>5</v>
      </c>
      <c r="S54" t="b">
        <v>0</v>
      </c>
      <c r="T54" t="s">
        <v>18</v>
      </c>
      <c r="U54">
        <v>7</v>
      </c>
    </row>
    <row r="55" spans="1:21" x14ac:dyDescent="0.35">
      <c r="A55" t="s">
        <v>232</v>
      </c>
      <c r="B55">
        <v>45063</v>
      </c>
      <c r="C55" t="s">
        <v>233</v>
      </c>
      <c r="D55" t="s">
        <v>234</v>
      </c>
      <c r="E55">
        <v>51</v>
      </c>
      <c r="F55" t="s">
        <v>47</v>
      </c>
      <c r="G55" t="s">
        <v>14</v>
      </c>
      <c r="H55" t="s">
        <v>28</v>
      </c>
      <c r="I55" t="s">
        <v>16</v>
      </c>
      <c r="J55" t="s">
        <v>80</v>
      </c>
      <c r="K55">
        <v>1</v>
      </c>
      <c r="L55">
        <v>697.15</v>
      </c>
      <c r="M55">
        <v>0.18</v>
      </c>
      <c r="N55">
        <v>867.37</v>
      </c>
      <c r="O55">
        <v>335.66</v>
      </c>
      <c r="P55">
        <v>48.84</v>
      </c>
      <c r="Q55" t="s">
        <v>8</v>
      </c>
      <c r="R55">
        <v>3</v>
      </c>
      <c r="S55" t="b">
        <v>0</v>
      </c>
      <c r="T55" t="s">
        <v>37</v>
      </c>
      <c r="U55">
        <v>10</v>
      </c>
    </row>
    <row r="56" spans="1:21" x14ac:dyDescent="0.35">
      <c r="A56" t="s">
        <v>235</v>
      </c>
      <c r="B56">
        <v>44046</v>
      </c>
      <c r="C56" t="s">
        <v>236</v>
      </c>
      <c r="D56" t="s">
        <v>237</v>
      </c>
      <c r="E56">
        <v>34</v>
      </c>
      <c r="F56" t="s">
        <v>13</v>
      </c>
      <c r="G56" t="s">
        <v>4</v>
      </c>
      <c r="H56" t="s">
        <v>5</v>
      </c>
      <c r="I56" t="s">
        <v>105</v>
      </c>
      <c r="J56" t="s">
        <v>106</v>
      </c>
      <c r="K56">
        <v>2</v>
      </c>
      <c r="L56">
        <v>52363.15</v>
      </c>
      <c r="M56">
        <v>0.25</v>
      </c>
      <c r="N56">
        <v>89225.91</v>
      </c>
      <c r="O56">
        <v>14474.33</v>
      </c>
      <c r="P56">
        <v>45.26</v>
      </c>
      <c r="Q56" t="s">
        <v>36</v>
      </c>
      <c r="R56">
        <v>2</v>
      </c>
      <c r="S56" t="b">
        <v>0</v>
      </c>
      <c r="T56" t="s">
        <v>37</v>
      </c>
      <c r="U56">
        <v>9</v>
      </c>
    </row>
    <row r="57" spans="1:21" x14ac:dyDescent="0.35">
      <c r="A57" t="s">
        <v>238</v>
      </c>
      <c r="B57">
        <v>43986</v>
      </c>
      <c r="C57" t="s">
        <v>239</v>
      </c>
      <c r="D57" t="s">
        <v>240</v>
      </c>
      <c r="E57">
        <v>37</v>
      </c>
      <c r="F57" t="s">
        <v>13</v>
      </c>
      <c r="G57" t="s">
        <v>14</v>
      </c>
      <c r="H57" t="s">
        <v>22</v>
      </c>
      <c r="I57" t="s">
        <v>124</v>
      </c>
      <c r="J57" t="s">
        <v>139</v>
      </c>
      <c r="K57">
        <v>3</v>
      </c>
      <c r="L57">
        <v>2684.91</v>
      </c>
      <c r="M57">
        <v>0.15</v>
      </c>
      <c r="N57">
        <v>9541.81</v>
      </c>
      <c r="O57">
        <v>2543.29</v>
      </c>
      <c r="P57">
        <v>67.28</v>
      </c>
      <c r="Q57" t="s">
        <v>36</v>
      </c>
      <c r="R57">
        <v>2</v>
      </c>
      <c r="S57" t="b">
        <v>0</v>
      </c>
      <c r="T57" t="s">
        <v>18</v>
      </c>
      <c r="U57">
        <v>9</v>
      </c>
    </row>
    <row r="58" spans="1:21" x14ac:dyDescent="0.35">
      <c r="A58" t="s">
        <v>241</v>
      </c>
      <c r="B58">
        <v>45160</v>
      </c>
      <c r="C58" t="s">
        <v>242</v>
      </c>
      <c r="D58" t="s">
        <v>243</v>
      </c>
      <c r="E58">
        <v>42</v>
      </c>
      <c r="F58" t="s">
        <v>47</v>
      </c>
      <c r="G58" t="s">
        <v>53</v>
      </c>
      <c r="H58" t="s">
        <v>54</v>
      </c>
      <c r="I58" t="s">
        <v>41</v>
      </c>
      <c r="J58" t="s">
        <v>244</v>
      </c>
      <c r="K58">
        <v>4</v>
      </c>
      <c r="L58">
        <v>889.6</v>
      </c>
      <c r="M58">
        <v>0.36</v>
      </c>
      <c r="N58">
        <v>3597.1</v>
      </c>
      <c r="O58">
        <v>1076.9100000000001</v>
      </c>
      <c r="P58">
        <v>58.16</v>
      </c>
      <c r="Q58" t="s">
        <v>49</v>
      </c>
      <c r="R58">
        <v>3</v>
      </c>
      <c r="S58" t="b">
        <v>1</v>
      </c>
      <c r="T58" t="s">
        <v>9</v>
      </c>
      <c r="U58">
        <v>3</v>
      </c>
    </row>
    <row r="59" spans="1:21" x14ac:dyDescent="0.35">
      <c r="A59" t="s">
        <v>245</v>
      </c>
      <c r="B59">
        <v>43984</v>
      </c>
      <c r="C59" t="s">
        <v>246</v>
      </c>
      <c r="D59" t="s">
        <v>247</v>
      </c>
      <c r="E59">
        <v>41</v>
      </c>
      <c r="F59" t="s">
        <v>47</v>
      </c>
      <c r="G59" t="s">
        <v>4</v>
      </c>
      <c r="H59" t="s">
        <v>34</v>
      </c>
      <c r="I59" t="s">
        <v>55</v>
      </c>
      <c r="J59" t="s">
        <v>185</v>
      </c>
      <c r="K59">
        <v>2</v>
      </c>
      <c r="L59">
        <v>1548.43</v>
      </c>
      <c r="M59">
        <v>0.38</v>
      </c>
      <c r="N59">
        <v>2480.54</v>
      </c>
      <c r="O59">
        <v>866.5</v>
      </c>
      <c r="P59">
        <v>49.01</v>
      </c>
      <c r="Q59" t="s">
        <v>30</v>
      </c>
      <c r="R59">
        <v>1</v>
      </c>
      <c r="S59" t="b">
        <v>0</v>
      </c>
      <c r="T59" t="s">
        <v>18</v>
      </c>
      <c r="U59">
        <v>45</v>
      </c>
    </row>
    <row r="60" spans="1:21" x14ac:dyDescent="0.35">
      <c r="A60" t="s">
        <v>248</v>
      </c>
      <c r="B60">
        <v>45465</v>
      </c>
      <c r="C60" t="s">
        <v>249</v>
      </c>
      <c r="D60" t="s">
        <v>250</v>
      </c>
      <c r="E60">
        <v>42</v>
      </c>
      <c r="F60" t="s">
        <v>3</v>
      </c>
      <c r="G60" t="s">
        <v>14</v>
      </c>
      <c r="H60" t="s">
        <v>22</v>
      </c>
      <c r="I60" t="s">
        <v>41</v>
      </c>
      <c r="J60" t="s">
        <v>129</v>
      </c>
      <c r="K60">
        <v>1</v>
      </c>
      <c r="L60">
        <v>787.78</v>
      </c>
      <c r="M60">
        <v>0.15</v>
      </c>
      <c r="N60">
        <v>1146.29</v>
      </c>
      <c r="O60">
        <v>520.99</v>
      </c>
      <c r="P60">
        <v>47.1</v>
      </c>
      <c r="Q60" t="s">
        <v>49</v>
      </c>
      <c r="R60">
        <v>2</v>
      </c>
      <c r="S60" t="b">
        <v>0</v>
      </c>
      <c r="T60" t="s">
        <v>18</v>
      </c>
      <c r="U60">
        <v>9</v>
      </c>
    </row>
    <row r="61" spans="1:21" x14ac:dyDescent="0.35">
      <c r="A61" t="s">
        <v>251</v>
      </c>
      <c r="B61">
        <v>43873</v>
      </c>
      <c r="C61" t="s">
        <v>252</v>
      </c>
      <c r="D61" t="s">
        <v>253</v>
      </c>
      <c r="E61">
        <v>48</v>
      </c>
      <c r="F61" t="s">
        <v>47</v>
      </c>
      <c r="G61" t="s">
        <v>89</v>
      </c>
      <c r="H61" t="s">
        <v>90</v>
      </c>
      <c r="I61" t="s">
        <v>124</v>
      </c>
      <c r="J61" t="s">
        <v>254</v>
      </c>
      <c r="K61">
        <v>3</v>
      </c>
      <c r="L61">
        <v>6047.51</v>
      </c>
      <c r="M61">
        <v>0.08</v>
      </c>
      <c r="N61">
        <v>13365.94</v>
      </c>
      <c r="O61">
        <v>2741.49</v>
      </c>
      <c r="P61">
        <v>36.15</v>
      </c>
      <c r="Q61" t="s">
        <v>8</v>
      </c>
      <c r="R61">
        <v>4</v>
      </c>
      <c r="S61" t="b">
        <v>0</v>
      </c>
      <c r="T61" t="s">
        <v>18</v>
      </c>
      <c r="U61">
        <v>3</v>
      </c>
    </row>
    <row r="62" spans="1:21" x14ac:dyDescent="0.35">
      <c r="A62" t="s">
        <v>255</v>
      </c>
      <c r="B62">
        <v>43929</v>
      </c>
      <c r="C62" t="s">
        <v>256</v>
      </c>
      <c r="D62" t="s">
        <v>257</v>
      </c>
      <c r="E62">
        <v>37</v>
      </c>
      <c r="F62" t="s">
        <v>13</v>
      </c>
      <c r="G62" t="s">
        <v>4</v>
      </c>
      <c r="H62" t="s">
        <v>34</v>
      </c>
      <c r="I62" t="s">
        <v>124</v>
      </c>
      <c r="J62" t="s">
        <v>195</v>
      </c>
      <c r="K62">
        <v>1</v>
      </c>
      <c r="L62">
        <v>5935.12</v>
      </c>
      <c r="M62">
        <v>0.08</v>
      </c>
      <c r="N62">
        <v>6293.66</v>
      </c>
      <c r="O62">
        <v>1165.6300000000001</v>
      </c>
      <c r="P62">
        <v>47.97</v>
      </c>
      <c r="Q62" t="s">
        <v>49</v>
      </c>
      <c r="R62">
        <v>5</v>
      </c>
      <c r="S62" t="b">
        <v>0</v>
      </c>
      <c r="T62" t="s">
        <v>18</v>
      </c>
      <c r="U62">
        <v>7</v>
      </c>
    </row>
    <row r="63" spans="1:21" x14ac:dyDescent="0.35">
      <c r="A63" t="s">
        <v>258</v>
      </c>
      <c r="B63">
        <v>44405</v>
      </c>
      <c r="C63" t="s">
        <v>259</v>
      </c>
      <c r="D63" t="s">
        <v>260</v>
      </c>
      <c r="E63">
        <v>51</v>
      </c>
      <c r="F63" t="s">
        <v>47</v>
      </c>
      <c r="G63" t="s">
        <v>14</v>
      </c>
      <c r="H63" t="s">
        <v>84</v>
      </c>
      <c r="I63" t="s">
        <v>41</v>
      </c>
      <c r="J63" t="s">
        <v>261</v>
      </c>
      <c r="L63">
        <v>1490.57</v>
      </c>
      <c r="M63">
        <v>0.13</v>
      </c>
      <c r="N63">
        <v>1761.29</v>
      </c>
      <c r="O63">
        <v>922.64</v>
      </c>
      <c r="P63">
        <v>65.569999999999993</v>
      </c>
      <c r="Q63" t="s">
        <v>30</v>
      </c>
      <c r="R63">
        <v>1</v>
      </c>
      <c r="S63" t="b">
        <v>0</v>
      </c>
      <c r="T63" t="s">
        <v>18</v>
      </c>
      <c r="U63">
        <v>7</v>
      </c>
    </row>
    <row r="64" spans="1:21" x14ac:dyDescent="0.35">
      <c r="A64" t="s">
        <v>262</v>
      </c>
      <c r="B64">
        <v>44676</v>
      </c>
      <c r="C64" t="s">
        <v>263</v>
      </c>
      <c r="D64" t="s">
        <v>264</v>
      </c>
      <c r="F64" t="s">
        <v>13</v>
      </c>
      <c r="G64" t="s">
        <v>89</v>
      </c>
      <c r="H64" t="s">
        <v>119</v>
      </c>
      <c r="I64" t="s">
        <v>55</v>
      </c>
      <c r="J64" t="s">
        <v>91</v>
      </c>
      <c r="K64">
        <v>2</v>
      </c>
      <c r="L64">
        <v>1244.43</v>
      </c>
      <c r="M64">
        <v>0.23</v>
      </c>
      <c r="N64">
        <v>2660.47</v>
      </c>
      <c r="O64">
        <v>1061.94</v>
      </c>
      <c r="P64">
        <v>75.05</v>
      </c>
      <c r="Q64" t="s">
        <v>36</v>
      </c>
      <c r="R64">
        <v>5</v>
      </c>
      <c r="S64" t="b">
        <v>0</v>
      </c>
      <c r="T64" t="s">
        <v>18</v>
      </c>
      <c r="U64">
        <v>2</v>
      </c>
    </row>
    <row r="65" spans="1:21" x14ac:dyDescent="0.35">
      <c r="A65" t="s">
        <v>265</v>
      </c>
      <c r="B65">
        <v>44811</v>
      </c>
      <c r="C65" t="s">
        <v>266</v>
      </c>
      <c r="D65" t="s">
        <v>267</v>
      </c>
      <c r="E65">
        <v>38</v>
      </c>
      <c r="F65" t="s">
        <v>3</v>
      </c>
      <c r="G65" t="s">
        <v>53</v>
      </c>
      <c r="H65" t="s">
        <v>170</v>
      </c>
      <c r="I65" t="s">
        <v>23</v>
      </c>
      <c r="J65" t="s">
        <v>95</v>
      </c>
      <c r="K65">
        <v>2</v>
      </c>
      <c r="L65">
        <v>22082.21</v>
      </c>
      <c r="N65">
        <v>51389.35</v>
      </c>
      <c r="O65">
        <v>9844.24</v>
      </c>
      <c r="P65">
        <v>70.14</v>
      </c>
      <c r="Q65" t="s">
        <v>8</v>
      </c>
      <c r="R65">
        <v>1</v>
      </c>
      <c r="S65" t="b">
        <v>0</v>
      </c>
      <c r="T65" t="s">
        <v>37</v>
      </c>
      <c r="U65">
        <v>7</v>
      </c>
    </row>
    <row r="66" spans="1:21" x14ac:dyDescent="0.35">
      <c r="A66" t="s">
        <v>268</v>
      </c>
      <c r="B66">
        <v>44272</v>
      </c>
      <c r="C66" t="s">
        <v>269</v>
      </c>
      <c r="D66" t="s">
        <v>270</v>
      </c>
      <c r="E66">
        <v>22</v>
      </c>
      <c r="F66" t="s">
        <v>3</v>
      </c>
      <c r="G66" t="s">
        <v>61</v>
      </c>
      <c r="H66" t="s">
        <v>271</v>
      </c>
      <c r="I66" t="s">
        <v>105</v>
      </c>
      <c r="J66" t="s">
        <v>149</v>
      </c>
      <c r="K66">
        <v>4</v>
      </c>
      <c r="L66">
        <v>11157.11</v>
      </c>
      <c r="M66">
        <v>0.38</v>
      </c>
      <c r="N66">
        <v>32774.69</v>
      </c>
      <c r="O66">
        <v>3797.24</v>
      </c>
      <c r="P66">
        <v>55.14</v>
      </c>
      <c r="Q66" t="s">
        <v>49</v>
      </c>
      <c r="R66">
        <v>1</v>
      </c>
      <c r="S66" t="b">
        <v>1</v>
      </c>
      <c r="T66" t="s">
        <v>9</v>
      </c>
      <c r="U66">
        <v>8</v>
      </c>
    </row>
    <row r="67" spans="1:21" x14ac:dyDescent="0.35">
      <c r="A67" t="s">
        <v>272</v>
      </c>
      <c r="B67">
        <v>44229</v>
      </c>
      <c r="C67" t="s">
        <v>273</v>
      </c>
      <c r="D67" t="s">
        <v>167</v>
      </c>
      <c r="E67">
        <v>17</v>
      </c>
      <c r="F67" t="s">
        <v>3</v>
      </c>
      <c r="G67" t="s">
        <v>61</v>
      </c>
      <c r="H67" t="s">
        <v>271</v>
      </c>
      <c r="I67" t="s">
        <v>41</v>
      </c>
      <c r="J67" t="s">
        <v>129</v>
      </c>
      <c r="K67">
        <v>7</v>
      </c>
      <c r="L67">
        <v>914.96</v>
      </c>
      <c r="M67">
        <v>0.36</v>
      </c>
      <c r="N67">
        <v>3687.74</v>
      </c>
      <c r="O67">
        <v>1423.3</v>
      </c>
      <c r="P67">
        <v>77.84</v>
      </c>
      <c r="Q67" t="s">
        <v>57</v>
      </c>
      <c r="S67" t="b">
        <v>0</v>
      </c>
      <c r="T67" t="s">
        <v>18</v>
      </c>
      <c r="U6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2"/>
  <sheetViews>
    <sheetView tabSelected="1" workbookViewId="0">
      <selection activeCell="I12" sqref="I12"/>
    </sheetView>
  </sheetViews>
  <sheetFormatPr defaultRowHeight="14.5" x14ac:dyDescent="0.35"/>
  <cols>
    <col min="1" max="1" width="10.54296875" customWidth="1"/>
    <col min="2" max="2" width="17.6328125" style="13" customWidth="1"/>
    <col min="3" max="3" width="13.6328125" customWidth="1"/>
    <col min="4" max="4" width="16.90625" customWidth="1"/>
    <col min="5" max="5" width="5.90625" customWidth="1"/>
    <col min="6" max="6" width="9" customWidth="1"/>
    <col min="7" max="7" width="8.453125" customWidth="1"/>
    <col min="8" max="8" width="12.26953125" bestFit="1" customWidth="1"/>
    <col min="9" max="9" width="17.90625" customWidth="1"/>
    <col min="10" max="10" width="15.36328125" customWidth="1"/>
    <col min="11" max="11" width="10.1796875" customWidth="1"/>
    <col min="12" max="12" width="12.36328125" style="1" customWidth="1"/>
    <col min="13" max="13" width="13.81640625" customWidth="1"/>
    <col min="14" max="14" width="16.1796875" style="1" customWidth="1"/>
    <col min="15" max="15" width="9.36328125" style="1" customWidth="1"/>
    <col min="16" max="16" width="16" style="1" customWidth="1"/>
    <col min="17" max="17" width="18" customWidth="1"/>
    <col min="18" max="18" width="21.7265625" customWidth="1"/>
    <col min="19" max="19" width="12.81640625" customWidth="1"/>
    <col min="20" max="20" width="14" customWidth="1"/>
    <col min="21" max="21" width="14.453125" customWidth="1"/>
    <col min="22" max="22" width="11.453125" customWidth="1"/>
    <col min="23" max="23" width="16.453125" customWidth="1"/>
  </cols>
  <sheetData>
    <row r="1" spans="1:21" x14ac:dyDescent="0.35">
      <c r="A1" s="2" t="s">
        <v>2148</v>
      </c>
      <c r="B1" s="12" t="s">
        <v>2134</v>
      </c>
      <c r="C1" s="2" t="s">
        <v>2135</v>
      </c>
      <c r="D1" s="2" t="s">
        <v>2136</v>
      </c>
      <c r="E1" s="2" t="s">
        <v>2137</v>
      </c>
      <c r="F1" s="2" t="s">
        <v>2138</v>
      </c>
      <c r="G1" s="2" t="s">
        <v>2139</v>
      </c>
      <c r="H1" s="2" t="s">
        <v>2140</v>
      </c>
      <c r="I1" s="2" t="s">
        <v>2141</v>
      </c>
      <c r="J1" s="3" t="s">
        <v>2173</v>
      </c>
      <c r="K1" s="2" t="s">
        <v>2142</v>
      </c>
      <c r="L1" s="3" t="s">
        <v>2174</v>
      </c>
      <c r="M1" s="3" t="s">
        <v>2175</v>
      </c>
      <c r="N1" s="3" t="s">
        <v>2176</v>
      </c>
      <c r="O1" s="2" t="s">
        <v>2143</v>
      </c>
      <c r="P1" s="2" t="s">
        <v>2144</v>
      </c>
      <c r="Q1" s="2" t="s">
        <v>2145</v>
      </c>
      <c r="R1" s="2" t="s">
        <v>2146</v>
      </c>
      <c r="S1" s="2" t="s">
        <v>2147</v>
      </c>
      <c r="T1" s="2" t="s">
        <v>2150</v>
      </c>
      <c r="U1" s="11" t="s">
        <v>2190</v>
      </c>
    </row>
    <row r="2" spans="1:21" x14ac:dyDescent="0.35">
      <c r="A2" t="s">
        <v>0</v>
      </c>
      <c r="B2" s="13">
        <v>45519</v>
      </c>
      <c r="C2" t="s">
        <v>1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>
        <v>8</v>
      </c>
      <c r="J2" s="1">
        <v>346.32</v>
      </c>
      <c r="K2">
        <v>0</v>
      </c>
      <c r="L2" s="1">
        <v>4043.14</v>
      </c>
      <c r="M2" s="1">
        <v>289.18</v>
      </c>
      <c r="N2" s="1">
        <v>56.04</v>
      </c>
      <c r="O2" t="s">
        <v>8</v>
      </c>
      <c r="P2" t="s">
        <v>2149</v>
      </c>
      <c r="Q2" t="b">
        <v>1</v>
      </c>
      <c r="R2" t="s">
        <v>9</v>
      </c>
      <c r="S2">
        <v>7</v>
      </c>
      <c r="T2" t="e">
        <f>IF(#REF!&lt;=25, "Young Age", IF(#REF!&lt;=40, "Mid Age", "Old Age"))</f>
        <v>#REF!</v>
      </c>
      <c r="U2" t="str">
        <f t="shared" ref="U2:U65" si="0">IF(S2 &lt;=4, "Okay", IF(S2 &lt;=7, "Delayed", "Over Delayed"))</f>
        <v>Delayed</v>
      </c>
    </row>
    <row r="3" spans="1:21" x14ac:dyDescent="0.35">
      <c r="A3" t="s">
        <v>10</v>
      </c>
      <c r="B3" s="13">
        <v>44789</v>
      </c>
      <c r="C3" t="s">
        <v>11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>
        <v>8</v>
      </c>
      <c r="J3" s="1">
        <v>858.66</v>
      </c>
      <c r="K3">
        <v>0.08</v>
      </c>
      <c r="L3" s="1">
        <v>9147.31</v>
      </c>
      <c r="M3" s="1">
        <v>5355.56</v>
      </c>
      <c r="N3" s="1">
        <v>64.489999999999995</v>
      </c>
      <c r="O3" t="s">
        <v>8</v>
      </c>
      <c r="P3">
        <v>5</v>
      </c>
      <c r="Q3" t="b">
        <v>0</v>
      </c>
      <c r="R3" t="s">
        <v>18</v>
      </c>
      <c r="S3">
        <v>2</v>
      </c>
      <c r="T3" t="e">
        <f>IF(#REF!&lt;=25, "Young Age", IF(#REF!&lt;=40, "Mid Age", "Old Age"))</f>
        <v>#REF!</v>
      </c>
      <c r="U3" t="str">
        <f t="shared" si="0"/>
        <v>Okay</v>
      </c>
    </row>
    <row r="4" spans="1:21" x14ac:dyDescent="0.35">
      <c r="A4" t="s">
        <v>19</v>
      </c>
      <c r="B4" s="13">
        <v>44437</v>
      </c>
      <c r="C4" t="s">
        <v>20</v>
      </c>
      <c r="D4" t="s">
        <v>3</v>
      </c>
      <c r="E4" t="s">
        <v>14</v>
      </c>
      <c r="F4" t="s">
        <v>22</v>
      </c>
      <c r="G4" t="s">
        <v>23</v>
      </c>
      <c r="H4" t="s">
        <v>24</v>
      </c>
      <c r="I4">
        <v>4</v>
      </c>
      <c r="J4" s="1">
        <v>25941.32</v>
      </c>
      <c r="K4">
        <v>0.14000000000000001</v>
      </c>
      <c r="L4" s="1">
        <v>110156.97</v>
      </c>
      <c r="M4" s="1">
        <v>36956.51</v>
      </c>
      <c r="N4" s="1">
        <v>67.650000000000006</v>
      </c>
      <c r="O4" t="s">
        <v>8</v>
      </c>
      <c r="P4">
        <v>4</v>
      </c>
      <c r="Q4" t="b">
        <v>0</v>
      </c>
      <c r="R4" t="s">
        <v>18</v>
      </c>
      <c r="S4">
        <v>5</v>
      </c>
      <c r="T4" t="e">
        <f>IF(#REF!&lt;=25, "Young Age", IF(#REF!&lt;=40, "Mid Age", "Old Age"))</f>
        <v>#REF!</v>
      </c>
      <c r="U4" t="str">
        <f t="shared" si="0"/>
        <v>Delayed</v>
      </c>
    </row>
    <row r="5" spans="1:21" x14ac:dyDescent="0.35">
      <c r="A5" t="s">
        <v>25</v>
      </c>
      <c r="B5" s="13">
        <v>44747</v>
      </c>
      <c r="C5" t="s">
        <v>26</v>
      </c>
      <c r="D5" t="s">
        <v>3</v>
      </c>
      <c r="E5" t="s">
        <v>14</v>
      </c>
      <c r="F5" t="s">
        <v>28</v>
      </c>
      <c r="G5" t="s">
        <v>23</v>
      </c>
      <c r="H5" t="s">
        <v>29</v>
      </c>
      <c r="I5">
        <v>9</v>
      </c>
      <c r="J5" s="1">
        <v>22071.919999999998</v>
      </c>
      <c r="K5">
        <v>0.17</v>
      </c>
      <c r="L5" s="1">
        <v>262066.11</v>
      </c>
      <c r="M5" s="1">
        <v>66644.990000000005</v>
      </c>
      <c r="N5" s="1">
        <v>54.47</v>
      </c>
      <c r="O5" t="s">
        <v>30</v>
      </c>
      <c r="P5">
        <v>3</v>
      </c>
      <c r="Q5" t="b">
        <v>0</v>
      </c>
      <c r="R5" t="s">
        <v>18</v>
      </c>
      <c r="S5">
        <v>4</v>
      </c>
      <c r="T5" t="e">
        <f>IF(#REF!&lt;=25, "Young Age", IF(#REF!&lt;=40, "Mid Age", "Old Age"))</f>
        <v>#REF!</v>
      </c>
      <c r="U5" t="str">
        <f t="shared" si="0"/>
        <v>Okay</v>
      </c>
    </row>
    <row r="6" spans="1:21" x14ac:dyDescent="0.35">
      <c r="A6" t="s">
        <v>31</v>
      </c>
      <c r="B6" s="13">
        <v>43958</v>
      </c>
      <c r="C6" t="s">
        <v>32</v>
      </c>
      <c r="D6" t="s">
        <v>13</v>
      </c>
      <c r="E6" t="s">
        <v>4</v>
      </c>
      <c r="F6" t="s">
        <v>34</v>
      </c>
      <c r="G6" t="s">
        <v>6</v>
      </c>
      <c r="H6" t="s">
        <v>35</v>
      </c>
      <c r="I6">
        <v>1</v>
      </c>
      <c r="J6" s="1">
        <v>320.06</v>
      </c>
      <c r="K6">
        <v>0.31</v>
      </c>
      <c r="L6" s="1">
        <v>323.95</v>
      </c>
      <c r="M6" s="1">
        <v>31.38</v>
      </c>
      <c r="N6" s="1">
        <v>48.81</v>
      </c>
      <c r="O6" t="s">
        <v>36</v>
      </c>
      <c r="P6">
        <v>4</v>
      </c>
      <c r="Q6" t="b">
        <v>0</v>
      </c>
      <c r="R6" t="s">
        <v>37</v>
      </c>
      <c r="S6">
        <v>4</v>
      </c>
      <c r="T6" t="e">
        <f>IF(#REF!&lt;=25, "Young Age", IF(#REF!&lt;=40, "Mid Age", "Old Age"))</f>
        <v>#REF!</v>
      </c>
      <c r="U6" t="str">
        <f t="shared" si="0"/>
        <v>Okay</v>
      </c>
    </row>
    <row r="7" spans="1:21" x14ac:dyDescent="0.35">
      <c r="A7" t="s">
        <v>38</v>
      </c>
      <c r="B7" s="13">
        <v>45331</v>
      </c>
      <c r="C7" t="s">
        <v>39</v>
      </c>
      <c r="D7" t="s">
        <v>13</v>
      </c>
      <c r="E7" t="s">
        <v>14</v>
      </c>
      <c r="F7" t="s">
        <v>22</v>
      </c>
      <c r="G7" t="s">
        <v>41</v>
      </c>
      <c r="H7" t="s">
        <v>42</v>
      </c>
      <c r="I7">
        <v>2</v>
      </c>
      <c r="J7" s="1">
        <v>949.5</v>
      </c>
      <c r="K7">
        <v>0.22</v>
      </c>
      <c r="L7" s="1">
        <v>2202.33</v>
      </c>
      <c r="M7" s="1">
        <v>964.66</v>
      </c>
      <c r="N7" s="1">
        <v>62.42</v>
      </c>
      <c r="O7" t="s">
        <v>43</v>
      </c>
      <c r="P7">
        <v>2</v>
      </c>
      <c r="Q7" t="b">
        <v>1</v>
      </c>
      <c r="R7" t="s">
        <v>9</v>
      </c>
      <c r="S7">
        <v>8</v>
      </c>
      <c r="T7" t="e">
        <f>IF(#REF!&lt;=25, "Young Age", IF(#REF!&lt;=40, "Mid Age", "Old Age"))</f>
        <v>#REF!</v>
      </c>
      <c r="U7" t="str">
        <f t="shared" si="0"/>
        <v>Over Delayed</v>
      </c>
    </row>
    <row r="8" spans="1:21" x14ac:dyDescent="0.35">
      <c r="A8" t="s">
        <v>44</v>
      </c>
      <c r="B8" s="13">
        <v>44467</v>
      </c>
      <c r="C8" t="s">
        <v>45</v>
      </c>
      <c r="D8" t="s">
        <v>47</v>
      </c>
      <c r="E8" t="s">
        <v>4</v>
      </c>
      <c r="F8" t="s">
        <v>48</v>
      </c>
      <c r="G8" t="s">
        <v>41</v>
      </c>
      <c r="H8" t="s">
        <v>42</v>
      </c>
      <c r="I8">
        <v>3</v>
      </c>
      <c r="J8" s="1">
        <v>329.03</v>
      </c>
      <c r="K8">
        <v>0.02</v>
      </c>
      <c r="L8" s="1">
        <v>994.87</v>
      </c>
      <c r="M8" s="1">
        <v>375.07</v>
      </c>
      <c r="N8" s="1">
        <v>77.34</v>
      </c>
      <c r="O8" t="s">
        <v>49</v>
      </c>
      <c r="P8">
        <v>5</v>
      </c>
      <c r="Q8" t="b">
        <v>1</v>
      </c>
      <c r="R8" t="s">
        <v>9</v>
      </c>
      <c r="S8">
        <v>10</v>
      </c>
      <c r="T8" t="e">
        <f>IF(#REF!&lt;=25, "Young Age", IF(#REF!&lt;=40, "Mid Age", "Old Age"))</f>
        <v>#REF!</v>
      </c>
      <c r="U8" t="str">
        <f t="shared" si="0"/>
        <v>Over Delayed</v>
      </c>
    </row>
    <row r="9" spans="1:21" x14ac:dyDescent="0.35">
      <c r="A9" t="s">
        <v>50</v>
      </c>
      <c r="B9" s="13">
        <v>45087</v>
      </c>
      <c r="C9" t="s">
        <v>51</v>
      </c>
      <c r="D9" t="s">
        <v>47</v>
      </c>
      <c r="E9" t="s">
        <v>53</v>
      </c>
      <c r="F9" t="s">
        <v>54</v>
      </c>
      <c r="G9" t="s">
        <v>55</v>
      </c>
      <c r="H9" t="s">
        <v>56</v>
      </c>
      <c r="I9">
        <v>1</v>
      </c>
      <c r="J9" s="1">
        <v>1356.6</v>
      </c>
      <c r="K9">
        <v>0.01</v>
      </c>
      <c r="L9" s="1">
        <v>2140.41</v>
      </c>
      <c r="M9" s="1">
        <v>717.27</v>
      </c>
      <c r="N9" s="1">
        <v>82.68</v>
      </c>
      <c r="O9" t="s">
        <v>57</v>
      </c>
      <c r="P9">
        <v>1</v>
      </c>
      <c r="Q9" t="b">
        <v>0</v>
      </c>
      <c r="R9" t="s">
        <v>18</v>
      </c>
      <c r="S9">
        <v>4</v>
      </c>
      <c r="T9" t="e">
        <f>IF(#REF!&lt;=25, "Young Age", IF(#REF!&lt;=40, "Mid Age", "Old Age"))</f>
        <v>#REF!</v>
      </c>
      <c r="U9" t="str">
        <f t="shared" si="0"/>
        <v>Okay</v>
      </c>
    </row>
    <row r="10" spans="1:21" x14ac:dyDescent="0.35">
      <c r="A10" t="s">
        <v>58</v>
      </c>
      <c r="B10" s="13">
        <v>44036</v>
      </c>
      <c r="C10" t="s">
        <v>59</v>
      </c>
      <c r="D10" t="s">
        <v>47</v>
      </c>
      <c r="E10" t="s">
        <v>61</v>
      </c>
      <c r="F10" t="s">
        <v>62</v>
      </c>
      <c r="G10" t="s">
        <v>41</v>
      </c>
      <c r="H10" t="s">
        <v>42</v>
      </c>
      <c r="I10">
        <v>8</v>
      </c>
      <c r="J10" s="1">
        <v>495.77</v>
      </c>
      <c r="K10">
        <v>0.37</v>
      </c>
      <c r="L10" s="1">
        <v>2828.82</v>
      </c>
      <c r="M10" s="1">
        <v>1338.88</v>
      </c>
      <c r="N10" s="1">
        <v>84.5</v>
      </c>
      <c r="O10" t="s">
        <v>8</v>
      </c>
      <c r="P10">
        <v>1</v>
      </c>
      <c r="Q10" t="b">
        <v>0</v>
      </c>
      <c r="R10" t="s">
        <v>63</v>
      </c>
      <c r="S10">
        <v>10</v>
      </c>
      <c r="T10" t="e">
        <f>IF(#REF!&lt;=25, "Young Age", IF(#REF!&lt;=40, "Mid Age", "Old Age"))</f>
        <v>#REF!</v>
      </c>
      <c r="U10" t="str">
        <f t="shared" si="0"/>
        <v>Over Delayed</v>
      </c>
    </row>
    <row r="11" spans="1:21" x14ac:dyDescent="0.35">
      <c r="A11" t="s">
        <v>64</v>
      </c>
      <c r="B11" s="13">
        <v>43870</v>
      </c>
      <c r="C11" t="s">
        <v>65</v>
      </c>
      <c r="D11" t="s">
        <v>47</v>
      </c>
      <c r="E11" t="s">
        <v>61</v>
      </c>
      <c r="F11" t="s">
        <v>62</v>
      </c>
      <c r="G11" t="s">
        <v>55</v>
      </c>
      <c r="H11" t="s">
        <v>67</v>
      </c>
      <c r="I11">
        <v>9</v>
      </c>
      <c r="J11" s="1">
        <v>2128.77</v>
      </c>
      <c r="K11">
        <v>0.1</v>
      </c>
      <c r="L11" s="1">
        <v>14568.16</v>
      </c>
      <c r="M11" s="1">
        <v>4173.45</v>
      </c>
      <c r="N11" s="1">
        <v>75.33</v>
      </c>
      <c r="O11" t="s">
        <v>57</v>
      </c>
      <c r="P11">
        <v>3</v>
      </c>
      <c r="Q11" t="b">
        <v>0</v>
      </c>
      <c r="R11" t="s">
        <v>18</v>
      </c>
      <c r="S11">
        <v>8</v>
      </c>
      <c r="T11" t="e">
        <f>IF(#REF!&lt;=25, "Young Age", IF(#REF!&lt;=40, "Mid Age", "Old Age"))</f>
        <v>#REF!</v>
      </c>
      <c r="U11" t="str">
        <f t="shared" si="0"/>
        <v>Over Delayed</v>
      </c>
    </row>
    <row r="12" spans="1:21" x14ac:dyDescent="0.35">
      <c r="A12" t="s">
        <v>68</v>
      </c>
      <c r="B12" s="13">
        <v>43986</v>
      </c>
      <c r="C12" t="s">
        <v>69</v>
      </c>
      <c r="D12" t="s">
        <v>3</v>
      </c>
      <c r="E12" t="s">
        <v>4</v>
      </c>
      <c r="F12" t="s">
        <v>5</v>
      </c>
      <c r="G12" t="s">
        <v>23</v>
      </c>
      <c r="H12" t="s">
        <v>71</v>
      </c>
      <c r="I12">
        <v>3</v>
      </c>
      <c r="J12" s="1">
        <v>24460.799999999999</v>
      </c>
      <c r="K12">
        <v>0.15</v>
      </c>
      <c r="L12" s="1">
        <v>86997.39</v>
      </c>
      <c r="M12" s="1">
        <v>14762.22</v>
      </c>
      <c r="N12" s="1">
        <v>60.11</v>
      </c>
      <c r="O12" t="s">
        <v>57</v>
      </c>
      <c r="P12">
        <v>1</v>
      </c>
      <c r="Q12" t="b">
        <v>0</v>
      </c>
      <c r="R12" t="s">
        <v>18</v>
      </c>
      <c r="S12">
        <v>8</v>
      </c>
      <c r="T12" t="e">
        <f>IF(#REF!&lt;=25, "Young Age", IF(#REF!&lt;=40, "Mid Age", "Old Age"))</f>
        <v>#REF!</v>
      </c>
      <c r="U12" t="str">
        <f t="shared" si="0"/>
        <v>Over Delayed</v>
      </c>
    </row>
    <row r="13" spans="1:21" x14ac:dyDescent="0.35">
      <c r="A13" t="s">
        <v>72</v>
      </c>
      <c r="B13" s="13">
        <v>44589</v>
      </c>
      <c r="C13" t="s">
        <v>73</v>
      </c>
      <c r="D13" t="s">
        <v>47</v>
      </c>
      <c r="E13" t="s">
        <v>14</v>
      </c>
      <c r="F13" t="s">
        <v>28</v>
      </c>
      <c r="G13" t="s">
        <v>6</v>
      </c>
      <c r="H13" t="s">
        <v>75</v>
      </c>
      <c r="I13">
        <v>2</v>
      </c>
      <c r="J13" s="1">
        <v>274.81</v>
      </c>
      <c r="K13">
        <v>0.15</v>
      </c>
      <c r="L13" s="1">
        <v>379.5</v>
      </c>
      <c r="M13" s="1">
        <v>24.26</v>
      </c>
      <c r="N13" s="1">
        <v>46.69</v>
      </c>
      <c r="O13" t="s">
        <v>30</v>
      </c>
      <c r="P13">
        <v>4</v>
      </c>
      <c r="Q13" t="b">
        <v>0</v>
      </c>
      <c r="R13" t="s">
        <v>18</v>
      </c>
      <c r="S13">
        <v>4</v>
      </c>
      <c r="T13" t="e">
        <f>IF(#REF!&lt;=25, "Young Age", IF(#REF!&lt;=40, "Mid Age", "Old Age"))</f>
        <v>#REF!</v>
      </c>
      <c r="U13" t="str">
        <f t="shared" si="0"/>
        <v>Okay</v>
      </c>
    </row>
    <row r="14" spans="1:21" x14ac:dyDescent="0.35">
      <c r="A14" t="s">
        <v>76</v>
      </c>
      <c r="B14" s="13">
        <v>44818</v>
      </c>
      <c r="C14" t="s">
        <v>77</v>
      </c>
      <c r="D14" t="s">
        <v>3</v>
      </c>
      <c r="E14" t="s">
        <v>53</v>
      </c>
      <c r="F14" t="s">
        <v>79</v>
      </c>
      <c r="G14" t="s">
        <v>16</v>
      </c>
      <c r="H14" t="s">
        <v>80</v>
      </c>
      <c r="I14">
        <v>7</v>
      </c>
      <c r="J14" s="1">
        <v>111.14</v>
      </c>
      <c r="K14">
        <v>0.37</v>
      </c>
      <c r="L14" s="1">
        <v>567.33000000000004</v>
      </c>
      <c r="M14" s="1">
        <v>305.64999999999998</v>
      </c>
      <c r="N14" s="1">
        <v>44.94</v>
      </c>
      <c r="O14" t="s">
        <v>36</v>
      </c>
      <c r="P14">
        <v>4</v>
      </c>
      <c r="Q14" t="b">
        <v>0</v>
      </c>
      <c r="R14" t="s">
        <v>18</v>
      </c>
      <c r="S14">
        <v>9</v>
      </c>
      <c r="T14" t="e">
        <f>IF(#REF!&lt;=25, "Young Age", IF(#REF!&lt;=40, "Mid Age", "Old Age"))</f>
        <v>#REF!</v>
      </c>
      <c r="U14" t="str">
        <f t="shared" si="0"/>
        <v>Over Delayed</v>
      </c>
    </row>
    <row r="15" spans="1:21" x14ac:dyDescent="0.35">
      <c r="A15" t="s">
        <v>81</v>
      </c>
      <c r="B15" s="13">
        <v>45312</v>
      </c>
      <c r="C15" t="s">
        <v>82</v>
      </c>
      <c r="D15" t="s">
        <v>47</v>
      </c>
      <c r="E15" t="s">
        <v>14</v>
      </c>
      <c r="F15" t="s">
        <v>84</v>
      </c>
      <c r="G15" t="s">
        <v>41</v>
      </c>
      <c r="H15" t="s">
        <v>85</v>
      </c>
      <c r="I15">
        <v>10</v>
      </c>
      <c r="J15" s="1">
        <v>1492.28</v>
      </c>
      <c r="K15">
        <v>0.38</v>
      </c>
      <c r="L15" s="1">
        <v>9315.19</v>
      </c>
      <c r="M15" s="1">
        <v>4336.3100000000004</v>
      </c>
      <c r="N15" s="1">
        <v>66.67</v>
      </c>
      <c r="O15" t="s">
        <v>8</v>
      </c>
      <c r="P15">
        <v>3</v>
      </c>
      <c r="Q15" t="b">
        <v>1</v>
      </c>
      <c r="R15" t="s">
        <v>9</v>
      </c>
      <c r="S15" t="s">
        <v>2149</v>
      </c>
      <c r="T15" t="e">
        <f>IF(#REF!&lt;=25, "Young Age", IF(#REF!&lt;=40, "Mid Age", "Old Age"))</f>
        <v>#REF!</v>
      </c>
      <c r="U15" t="str">
        <f t="shared" si="0"/>
        <v>Over Delayed</v>
      </c>
    </row>
    <row r="16" spans="1:21" x14ac:dyDescent="0.35">
      <c r="A16" t="s">
        <v>86</v>
      </c>
      <c r="B16" s="13">
        <v>44930</v>
      </c>
      <c r="C16" t="s">
        <v>87</v>
      </c>
      <c r="D16" t="s">
        <v>13</v>
      </c>
      <c r="E16" t="s">
        <v>89</v>
      </c>
      <c r="F16" t="s">
        <v>90</v>
      </c>
      <c r="G16" t="s">
        <v>55</v>
      </c>
      <c r="H16" t="s">
        <v>91</v>
      </c>
      <c r="I16">
        <v>9</v>
      </c>
      <c r="J16" s="1">
        <v>590.14</v>
      </c>
      <c r="K16">
        <v>0</v>
      </c>
      <c r="L16" s="1">
        <v>4824.04</v>
      </c>
      <c r="M16" s="1">
        <v>2277.4</v>
      </c>
      <c r="N16" s="1">
        <v>79.19</v>
      </c>
      <c r="O16" t="s">
        <v>30</v>
      </c>
      <c r="P16">
        <v>1</v>
      </c>
      <c r="Q16" t="b">
        <v>0</v>
      </c>
      <c r="R16" t="s">
        <v>18</v>
      </c>
      <c r="S16">
        <v>4</v>
      </c>
      <c r="T16" t="e">
        <f>IF(#REF!&lt;=25, "Young Age", IF(#REF!&lt;=40, "Mid Age", "Old Age"))</f>
        <v>#REF!</v>
      </c>
      <c r="U16" t="str">
        <f t="shared" si="0"/>
        <v>Okay</v>
      </c>
    </row>
    <row r="17" spans="1:21" x14ac:dyDescent="0.35">
      <c r="A17" t="s">
        <v>92</v>
      </c>
      <c r="B17" s="13">
        <v>45361</v>
      </c>
      <c r="C17" t="s">
        <v>93</v>
      </c>
      <c r="D17" t="s">
        <v>47</v>
      </c>
      <c r="E17" t="s">
        <v>89</v>
      </c>
      <c r="F17" t="s">
        <v>90</v>
      </c>
      <c r="G17" t="s">
        <v>23</v>
      </c>
      <c r="H17" t="s">
        <v>95</v>
      </c>
      <c r="I17">
        <v>10</v>
      </c>
      <c r="J17" s="1">
        <v>12138.87</v>
      </c>
      <c r="K17">
        <v>0.15</v>
      </c>
      <c r="L17" s="1">
        <v>144295.18</v>
      </c>
      <c r="M17" s="1">
        <v>50995.28</v>
      </c>
      <c r="N17" s="1">
        <v>49.93</v>
      </c>
      <c r="O17" t="s">
        <v>30</v>
      </c>
      <c r="P17" t="s">
        <v>2149</v>
      </c>
      <c r="Q17" t="b">
        <v>0</v>
      </c>
      <c r="R17" t="s">
        <v>18</v>
      </c>
      <c r="S17">
        <v>1</v>
      </c>
      <c r="T17" t="e">
        <f>IF(#REF!&lt;=25, "Young Age", IF(#REF!&lt;=40, "Mid Age", "Old Age"))</f>
        <v>#REF!</v>
      </c>
      <c r="U17" t="str">
        <f t="shared" si="0"/>
        <v>Okay</v>
      </c>
    </row>
    <row r="18" spans="1:21" x14ac:dyDescent="0.35">
      <c r="A18" t="s">
        <v>96</v>
      </c>
      <c r="B18" s="13">
        <v>44634</v>
      </c>
      <c r="C18" t="s">
        <v>97</v>
      </c>
      <c r="D18" t="s">
        <v>13</v>
      </c>
      <c r="E18" t="s">
        <v>89</v>
      </c>
      <c r="F18" t="s">
        <v>99</v>
      </c>
      <c r="G18" t="s">
        <v>55</v>
      </c>
      <c r="H18" t="s">
        <v>100</v>
      </c>
      <c r="I18">
        <v>10</v>
      </c>
      <c r="J18" s="1">
        <v>1706.05</v>
      </c>
      <c r="K18">
        <v>0.04</v>
      </c>
      <c r="L18" s="1">
        <v>17995.41</v>
      </c>
      <c r="M18" s="1">
        <v>6453.4</v>
      </c>
      <c r="N18" s="1">
        <v>89.15</v>
      </c>
      <c r="O18" t="s">
        <v>57</v>
      </c>
      <c r="P18">
        <v>5</v>
      </c>
      <c r="Q18" t="b">
        <v>0</v>
      </c>
      <c r="R18" t="s">
        <v>18</v>
      </c>
      <c r="S18">
        <v>4</v>
      </c>
      <c r="T18" t="e">
        <f>IF(#REF!&lt;=25, "Young Age", IF(#REF!&lt;=40, "Mid Age", "Old Age"))</f>
        <v>#REF!</v>
      </c>
      <c r="U18" t="str">
        <f t="shared" si="0"/>
        <v>Okay</v>
      </c>
    </row>
    <row r="19" spans="1:21" x14ac:dyDescent="0.35">
      <c r="A19" t="s">
        <v>101</v>
      </c>
      <c r="B19" s="13">
        <v>45088</v>
      </c>
      <c r="C19" t="s">
        <v>102</v>
      </c>
      <c r="D19" t="s">
        <v>13</v>
      </c>
      <c r="E19" t="s">
        <v>61</v>
      </c>
      <c r="F19" t="s">
        <v>104</v>
      </c>
      <c r="G19" t="s">
        <v>105</v>
      </c>
      <c r="H19" t="s">
        <v>106</v>
      </c>
      <c r="I19">
        <v>8</v>
      </c>
      <c r="J19" s="1">
        <v>73558.44</v>
      </c>
      <c r="K19">
        <v>0.4</v>
      </c>
      <c r="L19" s="1">
        <v>315130.44</v>
      </c>
      <c r="M19" s="1">
        <v>53808.65</v>
      </c>
      <c r="N19" s="1">
        <v>82.71</v>
      </c>
      <c r="O19" t="s">
        <v>57</v>
      </c>
      <c r="P19">
        <v>3</v>
      </c>
      <c r="Q19" t="b">
        <v>0</v>
      </c>
      <c r="R19" t="s">
        <v>18</v>
      </c>
      <c r="S19">
        <v>6</v>
      </c>
      <c r="T19" t="e">
        <f>IF(#REF!&lt;=25, "Young Age", IF(#REF!&lt;=40, "Mid Age", "Old Age"))</f>
        <v>#REF!</v>
      </c>
      <c r="U19" t="str">
        <f t="shared" si="0"/>
        <v>Delayed</v>
      </c>
    </row>
    <row r="20" spans="1:21" x14ac:dyDescent="0.35">
      <c r="A20" t="s">
        <v>107</v>
      </c>
      <c r="B20" s="13">
        <v>45643</v>
      </c>
      <c r="C20" t="s">
        <v>108</v>
      </c>
      <c r="D20" t="s">
        <v>13</v>
      </c>
      <c r="E20" t="s">
        <v>89</v>
      </c>
      <c r="F20" t="s">
        <v>90</v>
      </c>
      <c r="G20" t="s">
        <v>55</v>
      </c>
      <c r="H20" t="s">
        <v>110</v>
      </c>
      <c r="I20">
        <v>5</v>
      </c>
      <c r="J20" s="1">
        <v>3006.52</v>
      </c>
      <c r="K20">
        <v>0.12</v>
      </c>
      <c r="L20" s="1">
        <v>10622.32</v>
      </c>
      <c r="M20" s="1">
        <v>4837.79</v>
      </c>
      <c r="N20" s="1">
        <v>75.97</v>
      </c>
      <c r="O20" t="s">
        <v>49</v>
      </c>
      <c r="P20">
        <v>1</v>
      </c>
      <c r="Q20" t="b">
        <v>0</v>
      </c>
      <c r="R20" t="s">
        <v>18</v>
      </c>
      <c r="S20">
        <v>5</v>
      </c>
      <c r="T20" t="e">
        <f>IF(#REF!&lt;=25, "Young Age", IF(#REF!&lt;=40, "Mid Age", "Old Age"))</f>
        <v>#REF!</v>
      </c>
      <c r="U20" t="str">
        <f t="shared" si="0"/>
        <v>Delayed</v>
      </c>
    </row>
    <row r="21" spans="1:21" x14ac:dyDescent="0.35">
      <c r="A21" t="s">
        <v>111</v>
      </c>
      <c r="B21" s="13">
        <v>43849</v>
      </c>
      <c r="C21" t="s">
        <v>112</v>
      </c>
      <c r="D21" t="s">
        <v>3</v>
      </c>
      <c r="E21" t="s">
        <v>53</v>
      </c>
      <c r="F21" t="s">
        <v>114</v>
      </c>
      <c r="G21" t="s">
        <v>23</v>
      </c>
      <c r="H21" t="s">
        <v>24</v>
      </c>
      <c r="I21">
        <v>3</v>
      </c>
      <c r="J21" s="1">
        <v>34890.629999999997</v>
      </c>
      <c r="K21">
        <v>0.28999999999999998</v>
      </c>
      <c r="L21" s="1">
        <v>64727.53</v>
      </c>
      <c r="M21" s="1">
        <v>18067.63</v>
      </c>
      <c r="N21" s="1">
        <v>40.97</v>
      </c>
      <c r="O21" t="s">
        <v>36</v>
      </c>
      <c r="P21">
        <v>5</v>
      </c>
      <c r="Q21" t="b">
        <v>0</v>
      </c>
      <c r="R21" t="s">
        <v>115</v>
      </c>
      <c r="S21">
        <v>3</v>
      </c>
      <c r="T21" t="e">
        <f>IF(#REF!&lt;=25, "Young Age", IF(#REF!&lt;=40, "Mid Age", "Old Age"))</f>
        <v>#REF!</v>
      </c>
      <c r="U21" t="str">
        <f t="shared" si="0"/>
        <v>Okay</v>
      </c>
    </row>
    <row r="22" spans="1:21" x14ac:dyDescent="0.35">
      <c r="A22" t="s">
        <v>116</v>
      </c>
      <c r="B22" s="13">
        <v>44705</v>
      </c>
      <c r="C22" t="s">
        <v>117</v>
      </c>
      <c r="D22" t="s">
        <v>3</v>
      </c>
      <c r="E22" t="s">
        <v>89</v>
      </c>
      <c r="F22" t="s">
        <v>119</v>
      </c>
      <c r="G22" t="s">
        <v>105</v>
      </c>
      <c r="H22" t="s">
        <v>120</v>
      </c>
      <c r="I22">
        <v>7</v>
      </c>
      <c r="J22" s="1">
        <v>48577.53</v>
      </c>
      <c r="K22">
        <v>7.0000000000000007E-2</v>
      </c>
      <c r="L22" s="1">
        <v>483408.08</v>
      </c>
      <c r="M22" s="1">
        <v>36816.910000000003</v>
      </c>
      <c r="N22" s="1">
        <v>57.45</v>
      </c>
      <c r="O22" t="s">
        <v>30</v>
      </c>
      <c r="P22">
        <v>2</v>
      </c>
      <c r="Q22" t="b">
        <v>0</v>
      </c>
      <c r="R22" t="s">
        <v>18</v>
      </c>
      <c r="S22">
        <v>4</v>
      </c>
      <c r="T22" t="e">
        <f>IF(#REF!&lt;=25, "Young Age", IF(#REF!&lt;=40, "Mid Age", "Old Age"))</f>
        <v>#REF!</v>
      </c>
      <c r="U22" t="str">
        <f t="shared" si="0"/>
        <v>Okay</v>
      </c>
    </row>
    <row r="23" spans="1:21" x14ac:dyDescent="0.35">
      <c r="A23" t="s">
        <v>121</v>
      </c>
      <c r="B23" s="13">
        <v>44272</v>
      </c>
      <c r="C23" t="s">
        <v>122</v>
      </c>
      <c r="D23" t="s">
        <v>47</v>
      </c>
      <c r="E23" t="s">
        <v>89</v>
      </c>
      <c r="F23" t="s">
        <v>90</v>
      </c>
      <c r="G23" t="s">
        <v>124</v>
      </c>
      <c r="H23" t="s">
        <v>125</v>
      </c>
      <c r="I23">
        <v>8</v>
      </c>
      <c r="J23" s="1">
        <v>7643.4</v>
      </c>
      <c r="K23">
        <v>0.09</v>
      </c>
      <c r="L23" s="1">
        <v>61783.199999999997</v>
      </c>
      <c r="M23" s="1">
        <v>10099.620000000001</v>
      </c>
      <c r="N23" s="1">
        <v>65.760000000000005</v>
      </c>
      <c r="O23" t="s">
        <v>49</v>
      </c>
      <c r="P23" t="s">
        <v>2149</v>
      </c>
      <c r="Q23" t="b">
        <v>0</v>
      </c>
      <c r="R23" t="s">
        <v>18</v>
      </c>
      <c r="S23">
        <v>8</v>
      </c>
      <c r="T23" t="e">
        <f>IF(#REF!&lt;=25, "Young Age", IF(#REF!&lt;=40, "Mid Age", "Old Age"))</f>
        <v>#REF!</v>
      </c>
      <c r="U23" t="str">
        <f t="shared" si="0"/>
        <v>Over Delayed</v>
      </c>
    </row>
    <row r="24" spans="1:21" x14ac:dyDescent="0.35">
      <c r="A24" t="s">
        <v>126</v>
      </c>
      <c r="B24" s="13">
        <v>45013</v>
      </c>
      <c r="C24" t="s">
        <v>127</v>
      </c>
      <c r="D24" t="s">
        <v>47</v>
      </c>
      <c r="E24" t="s">
        <v>4</v>
      </c>
      <c r="F24" t="s">
        <v>34</v>
      </c>
      <c r="G24" t="s">
        <v>41</v>
      </c>
      <c r="H24" t="s">
        <v>129</v>
      </c>
      <c r="I24">
        <v>6</v>
      </c>
      <c r="J24" s="1">
        <v>1467.54</v>
      </c>
      <c r="K24">
        <v>0.28999999999999998</v>
      </c>
      <c r="L24" s="1">
        <v>7477.88</v>
      </c>
      <c r="M24" s="1">
        <v>3606.99</v>
      </c>
      <c r="N24" s="1">
        <v>50.88</v>
      </c>
      <c r="O24" t="s">
        <v>57</v>
      </c>
      <c r="P24" t="s">
        <v>2149</v>
      </c>
      <c r="Q24" t="b">
        <v>0</v>
      </c>
      <c r="R24" t="s">
        <v>18</v>
      </c>
      <c r="S24">
        <v>4</v>
      </c>
      <c r="T24" t="e">
        <f>IF(#REF!&lt;=25, "Young Age", IF(#REF!&lt;=40, "Mid Age", "Old Age"))</f>
        <v>#REF!</v>
      </c>
      <c r="U24" t="str">
        <f t="shared" si="0"/>
        <v>Okay</v>
      </c>
    </row>
    <row r="25" spans="1:21" x14ac:dyDescent="0.35">
      <c r="A25" t="s">
        <v>130</v>
      </c>
      <c r="B25" s="13">
        <v>45124</v>
      </c>
      <c r="C25" t="s">
        <v>131</v>
      </c>
      <c r="D25" t="s">
        <v>13</v>
      </c>
      <c r="E25" t="s">
        <v>89</v>
      </c>
      <c r="F25" t="s">
        <v>99</v>
      </c>
      <c r="G25" t="s">
        <v>41</v>
      </c>
      <c r="H25" t="s">
        <v>42</v>
      </c>
      <c r="J25" s="1">
        <v>478.05</v>
      </c>
      <c r="K25">
        <v>0.02</v>
      </c>
      <c r="L25" s="1">
        <v>621.35</v>
      </c>
      <c r="M25" s="1">
        <v>290.89999999999998</v>
      </c>
      <c r="N25" s="1">
        <v>63.7</v>
      </c>
      <c r="O25" t="s">
        <v>43</v>
      </c>
      <c r="P25">
        <v>2</v>
      </c>
      <c r="Q25" t="b">
        <v>0</v>
      </c>
      <c r="R25" t="s">
        <v>18</v>
      </c>
      <c r="S25">
        <v>7</v>
      </c>
      <c r="T25" t="e">
        <f>IF(#REF!&lt;=25, "Young Age", IF(#REF!&lt;=40, "Mid Age", "Old Age"))</f>
        <v>#REF!</v>
      </c>
      <c r="U25" t="str">
        <f t="shared" si="0"/>
        <v>Delayed</v>
      </c>
    </row>
    <row r="26" spans="1:21" x14ac:dyDescent="0.35">
      <c r="A26" t="s">
        <v>133</v>
      </c>
      <c r="B26" s="13">
        <v>45636</v>
      </c>
      <c r="C26" t="s">
        <v>134</v>
      </c>
      <c r="D26" t="s">
        <v>47</v>
      </c>
      <c r="E26" t="s">
        <v>4</v>
      </c>
      <c r="F26" t="s">
        <v>34</v>
      </c>
      <c r="G26" t="s">
        <v>41</v>
      </c>
      <c r="H26" t="s">
        <v>42</v>
      </c>
      <c r="I26">
        <v>7</v>
      </c>
      <c r="J26" s="1">
        <v>612.70000000000005</v>
      </c>
      <c r="K26">
        <v>0.22</v>
      </c>
      <c r="L26" s="1">
        <v>3224.82</v>
      </c>
      <c r="M26" s="1">
        <v>991.03</v>
      </c>
      <c r="N26" s="1">
        <v>55.8</v>
      </c>
      <c r="O26" t="s">
        <v>49</v>
      </c>
      <c r="P26">
        <v>5</v>
      </c>
      <c r="Q26" t="b">
        <v>0</v>
      </c>
      <c r="R26" t="s">
        <v>18</v>
      </c>
      <c r="S26">
        <v>4</v>
      </c>
      <c r="T26" t="e">
        <f>IF(#REF!&lt;=25, "Young Age", IF(#REF!&lt;=40, "Mid Age", "Old Age"))</f>
        <v>#REF!</v>
      </c>
      <c r="U26" t="str">
        <f t="shared" si="0"/>
        <v>Okay</v>
      </c>
    </row>
    <row r="27" spans="1:21" x14ac:dyDescent="0.35">
      <c r="A27" t="s">
        <v>136</v>
      </c>
      <c r="B27" s="13">
        <v>45521</v>
      </c>
      <c r="C27" t="s">
        <v>137</v>
      </c>
      <c r="D27" t="s">
        <v>3</v>
      </c>
      <c r="E27" t="s">
        <v>14</v>
      </c>
      <c r="F27" t="s">
        <v>22</v>
      </c>
      <c r="G27" t="s">
        <v>124</v>
      </c>
      <c r="H27" t="s">
        <v>139</v>
      </c>
      <c r="I27">
        <v>9</v>
      </c>
      <c r="J27" s="1">
        <v>3000.32</v>
      </c>
      <c r="K27">
        <v>0.21</v>
      </c>
      <c r="L27" s="1">
        <v>29267.25</v>
      </c>
      <c r="M27" s="1">
        <v>6330.95</v>
      </c>
      <c r="N27" s="1">
        <v>68.5</v>
      </c>
      <c r="O27" t="s">
        <v>57</v>
      </c>
      <c r="P27">
        <v>4</v>
      </c>
      <c r="Q27" t="b">
        <v>0</v>
      </c>
      <c r="R27" t="s">
        <v>18</v>
      </c>
      <c r="S27">
        <v>9</v>
      </c>
      <c r="T27" t="e">
        <f>IF(#REF!&lt;=25, "Young Age", IF(#REF!&lt;=40, "Mid Age", "Old Age"))</f>
        <v>#REF!</v>
      </c>
      <c r="U27" t="str">
        <f t="shared" si="0"/>
        <v>Over Delayed</v>
      </c>
    </row>
    <row r="28" spans="1:21" x14ac:dyDescent="0.35">
      <c r="A28" t="s">
        <v>140</v>
      </c>
      <c r="B28" s="13">
        <v>44494</v>
      </c>
      <c r="C28" t="s">
        <v>141</v>
      </c>
      <c r="D28" t="s">
        <v>3</v>
      </c>
      <c r="E28" t="s">
        <v>14</v>
      </c>
      <c r="F28" t="s">
        <v>22</v>
      </c>
      <c r="G28" t="s">
        <v>6</v>
      </c>
      <c r="H28" t="s">
        <v>35</v>
      </c>
      <c r="I28">
        <v>2</v>
      </c>
      <c r="J28" s="1">
        <v>233.12</v>
      </c>
      <c r="K28">
        <v>0.28000000000000003</v>
      </c>
      <c r="L28" s="1">
        <v>322.86</v>
      </c>
      <c r="M28" s="1">
        <v>21.37</v>
      </c>
      <c r="N28" s="1">
        <v>57.3</v>
      </c>
      <c r="O28" t="s">
        <v>43</v>
      </c>
      <c r="P28">
        <v>3</v>
      </c>
      <c r="Q28" t="b">
        <v>0</v>
      </c>
      <c r="R28" t="s">
        <v>18</v>
      </c>
      <c r="S28">
        <v>7</v>
      </c>
      <c r="T28" t="e">
        <f>IF(#REF!&lt;=25, "Young Age", IF(#REF!&lt;=40, "Mid Age", "Old Age"))</f>
        <v>#REF!</v>
      </c>
      <c r="U28" t="str">
        <f t="shared" si="0"/>
        <v>Delayed</v>
      </c>
    </row>
    <row r="29" spans="1:21" x14ac:dyDescent="0.35">
      <c r="A29" t="s">
        <v>143</v>
      </c>
      <c r="B29" s="13">
        <v>45480</v>
      </c>
      <c r="C29" t="s">
        <v>144</v>
      </c>
      <c r="D29" t="s">
        <v>47</v>
      </c>
      <c r="E29" t="s">
        <v>4</v>
      </c>
      <c r="F29" t="s">
        <v>48</v>
      </c>
      <c r="G29" t="s">
        <v>55</v>
      </c>
      <c r="H29" t="s">
        <v>91</v>
      </c>
      <c r="I29">
        <v>2</v>
      </c>
      <c r="J29" s="1">
        <v>735.25</v>
      </c>
      <c r="K29">
        <v>0.03</v>
      </c>
      <c r="L29" s="1">
        <v>2477.7199999999998</v>
      </c>
      <c r="M29" s="1">
        <v>795.65</v>
      </c>
      <c r="N29" s="1">
        <v>74.95</v>
      </c>
      <c r="O29" t="s">
        <v>57</v>
      </c>
      <c r="P29">
        <v>5</v>
      </c>
      <c r="Q29" t="b">
        <v>0</v>
      </c>
      <c r="R29" t="s">
        <v>18</v>
      </c>
      <c r="S29">
        <v>8</v>
      </c>
      <c r="T29" t="e">
        <f>IF(#REF!&lt;=25, "Young Age", IF(#REF!&lt;=40, "Mid Age", "Old Age"))</f>
        <v>#REF!</v>
      </c>
      <c r="U29" t="str">
        <f t="shared" si="0"/>
        <v>Over Delayed</v>
      </c>
    </row>
    <row r="30" spans="1:21" x14ac:dyDescent="0.35">
      <c r="A30" t="s">
        <v>146</v>
      </c>
      <c r="B30" s="13">
        <v>44405</v>
      </c>
      <c r="C30" t="s">
        <v>147</v>
      </c>
      <c r="D30" t="s">
        <v>13</v>
      </c>
      <c r="E30" t="s">
        <v>4</v>
      </c>
      <c r="F30" t="s">
        <v>148</v>
      </c>
      <c r="G30" t="s">
        <v>105</v>
      </c>
      <c r="H30" t="s">
        <v>149</v>
      </c>
      <c r="I30">
        <v>9</v>
      </c>
      <c r="J30" s="1">
        <v>63147.82</v>
      </c>
      <c r="K30">
        <v>0.14000000000000001</v>
      </c>
      <c r="L30" s="1">
        <v>671607.78</v>
      </c>
      <c r="M30" s="1">
        <v>86070.79</v>
      </c>
      <c r="N30" s="1">
        <v>60.5</v>
      </c>
      <c r="O30" t="s">
        <v>43</v>
      </c>
      <c r="P30">
        <v>4</v>
      </c>
      <c r="Q30" t="b">
        <v>1</v>
      </c>
      <c r="R30" t="s">
        <v>9</v>
      </c>
      <c r="S30">
        <v>3</v>
      </c>
      <c r="T30" t="e">
        <f>IF(#REF!&lt;=25, "Young Age", IF(#REF!&lt;=40, "Mid Age", "Old Age"))</f>
        <v>#REF!</v>
      </c>
      <c r="U30" t="str">
        <f t="shared" si="0"/>
        <v>Okay</v>
      </c>
    </row>
    <row r="31" spans="1:21" x14ac:dyDescent="0.35">
      <c r="A31" t="s">
        <v>150</v>
      </c>
      <c r="B31" s="13">
        <v>44013</v>
      </c>
      <c r="C31" t="s">
        <v>151</v>
      </c>
      <c r="D31" t="s">
        <v>3</v>
      </c>
      <c r="E31" t="s">
        <v>14</v>
      </c>
      <c r="F31" t="s">
        <v>28</v>
      </c>
      <c r="G31" t="s">
        <v>41</v>
      </c>
      <c r="H31" t="s">
        <v>129</v>
      </c>
      <c r="I31">
        <v>8</v>
      </c>
      <c r="J31" s="1">
        <v>635.66</v>
      </c>
      <c r="K31">
        <v>0.34</v>
      </c>
      <c r="L31" s="1">
        <v>3704.84</v>
      </c>
      <c r="M31" s="1">
        <v>1269.07</v>
      </c>
      <c r="N31" s="1">
        <v>67.010000000000005</v>
      </c>
      <c r="O31" t="s">
        <v>43</v>
      </c>
      <c r="P31">
        <v>1</v>
      </c>
      <c r="Q31" t="b">
        <v>0</v>
      </c>
      <c r="R31" t="s">
        <v>18</v>
      </c>
      <c r="S31">
        <v>3</v>
      </c>
      <c r="T31" t="e">
        <f>IF(#REF!&lt;=25, "Young Age", IF(#REF!&lt;=40, "Mid Age", "Old Age"))</f>
        <v>#REF!</v>
      </c>
      <c r="U31" t="str">
        <f t="shared" si="0"/>
        <v>Okay</v>
      </c>
    </row>
    <row r="32" spans="1:21" x14ac:dyDescent="0.35">
      <c r="A32" t="s">
        <v>153</v>
      </c>
      <c r="B32" s="13">
        <v>44649</v>
      </c>
      <c r="C32" t="s">
        <v>154</v>
      </c>
      <c r="D32" t="s">
        <v>13</v>
      </c>
      <c r="E32" t="s">
        <v>89</v>
      </c>
      <c r="F32" t="s">
        <v>90</v>
      </c>
      <c r="G32" t="s">
        <v>124</v>
      </c>
      <c r="H32" t="s">
        <v>156</v>
      </c>
      <c r="I32">
        <v>7</v>
      </c>
      <c r="J32" s="1">
        <v>6478.95</v>
      </c>
      <c r="K32">
        <v>0.22</v>
      </c>
      <c r="L32" s="1">
        <v>43346.6</v>
      </c>
      <c r="M32" s="1">
        <v>8443.99</v>
      </c>
      <c r="N32" s="1">
        <v>69.59</v>
      </c>
      <c r="O32" t="s">
        <v>30</v>
      </c>
      <c r="P32">
        <v>1</v>
      </c>
      <c r="Q32" t="b">
        <v>0</v>
      </c>
      <c r="R32" t="s">
        <v>18</v>
      </c>
      <c r="S32">
        <v>2</v>
      </c>
      <c r="T32" t="e">
        <f>IF(#REF!&lt;=25, "Young Age", IF(#REF!&lt;=40, "Mid Age", "Old Age"))</f>
        <v>#REF!</v>
      </c>
      <c r="U32" t="str">
        <f t="shared" si="0"/>
        <v>Okay</v>
      </c>
    </row>
    <row r="33" spans="1:21" x14ac:dyDescent="0.35">
      <c r="A33" t="s">
        <v>157</v>
      </c>
      <c r="B33" s="13">
        <v>44995</v>
      </c>
      <c r="C33" t="s">
        <v>158</v>
      </c>
      <c r="D33" t="s">
        <v>13</v>
      </c>
      <c r="E33" t="s">
        <v>89</v>
      </c>
      <c r="F33" t="s">
        <v>90</v>
      </c>
      <c r="G33" t="s">
        <v>16</v>
      </c>
      <c r="H33" t="s">
        <v>160</v>
      </c>
      <c r="I33">
        <v>3</v>
      </c>
      <c r="J33" s="1">
        <v>1290.21</v>
      </c>
      <c r="K33">
        <v>0.12</v>
      </c>
      <c r="L33" s="1">
        <v>3690.09</v>
      </c>
      <c r="M33" s="1">
        <v>1777.76</v>
      </c>
      <c r="N33" s="1">
        <v>64.97</v>
      </c>
      <c r="O33" t="s">
        <v>43</v>
      </c>
      <c r="P33">
        <v>3</v>
      </c>
      <c r="Q33" t="b">
        <v>0</v>
      </c>
      <c r="R33" t="s">
        <v>18</v>
      </c>
      <c r="S33">
        <v>5</v>
      </c>
      <c r="T33" t="e">
        <f>IF(#REF!&lt;=25, "Young Age", IF(#REF!&lt;=40, "Mid Age", "Old Age"))</f>
        <v>#REF!</v>
      </c>
      <c r="U33" t="str">
        <f t="shared" si="0"/>
        <v>Delayed</v>
      </c>
    </row>
    <row r="34" spans="1:21" x14ac:dyDescent="0.35">
      <c r="A34" t="s">
        <v>161</v>
      </c>
      <c r="B34" s="13">
        <v>44254</v>
      </c>
      <c r="C34" t="s">
        <v>162</v>
      </c>
      <c r="D34" t="s">
        <v>47</v>
      </c>
      <c r="E34" t="s">
        <v>4</v>
      </c>
      <c r="F34" t="s">
        <v>34</v>
      </c>
      <c r="G34" t="s">
        <v>23</v>
      </c>
      <c r="H34" t="s">
        <v>164</v>
      </c>
      <c r="I34">
        <v>1</v>
      </c>
      <c r="J34" s="1">
        <v>33537.06</v>
      </c>
      <c r="K34">
        <v>0.25</v>
      </c>
      <c r="L34" s="1">
        <v>24565.06</v>
      </c>
      <c r="M34" s="1">
        <v>5814.79</v>
      </c>
      <c r="N34" s="1">
        <v>56.47</v>
      </c>
      <c r="O34" t="s">
        <v>8</v>
      </c>
      <c r="P34">
        <v>4</v>
      </c>
      <c r="Q34" t="b">
        <v>0</v>
      </c>
      <c r="R34" t="s">
        <v>18</v>
      </c>
      <c r="S34">
        <v>2</v>
      </c>
      <c r="T34" t="e">
        <f>IF(#REF!&lt;=25, "Young Age", IF(#REF!&lt;=40, "Mid Age", "Old Age"))</f>
        <v>#REF!</v>
      </c>
      <c r="U34" t="str">
        <f t="shared" si="0"/>
        <v>Okay</v>
      </c>
    </row>
    <row r="35" spans="1:21" x14ac:dyDescent="0.35">
      <c r="A35" t="s">
        <v>165</v>
      </c>
      <c r="B35" s="13">
        <v>45314</v>
      </c>
      <c r="C35" t="s">
        <v>166</v>
      </c>
      <c r="D35" t="s">
        <v>13</v>
      </c>
      <c r="E35" t="s">
        <v>61</v>
      </c>
      <c r="F35" t="s">
        <v>104</v>
      </c>
      <c r="G35" t="s">
        <v>105</v>
      </c>
      <c r="H35" t="s">
        <v>120</v>
      </c>
      <c r="I35">
        <v>3</v>
      </c>
      <c r="J35" s="1">
        <v>64874.09</v>
      </c>
      <c r="K35">
        <v>0.02</v>
      </c>
      <c r="L35" s="1">
        <v>177754.39</v>
      </c>
      <c r="M35" s="1">
        <v>20320.939999999999</v>
      </c>
      <c r="N35" s="1">
        <v>79.56</v>
      </c>
      <c r="O35" t="s">
        <v>57</v>
      </c>
      <c r="P35">
        <v>1</v>
      </c>
      <c r="Q35" t="b">
        <v>0</v>
      </c>
      <c r="R35" t="s">
        <v>18</v>
      </c>
      <c r="S35">
        <v>7</v>
      </c>
      <c r="T35" t="e">
        <f>IF(#REF!&lt;=25, "Young Age", IF(#REF!&lt;=40, "Mid Age", "Old Age"))</f>
        <v>#REF!</v>
      </c>
      <c r="U35" t="str">
        <f t="shared" si="0"/>
        <v>Delayed</v>
      </c>
    </row>
    <row r="36" spans="1:21" x14ac:dyDescent="0.35">
      <c r="A36" t="s">
        <v>168</v>
      </c>
      <c r="B36" s="13">
        <v>44506</v>
      </c>
      <c r="C36" t="s">
        <v>169</v>
      </c>
      <c r="D36" t="s">
        <v>3</v>
      </c>
      <c r="E36" t="s">
        <v>53</v>
      </c>
      <c r="F36" t="s">
        <v>170</v>
      </c>
      <c r="G36" t="s">
        <v>41</v>
      </c>
      <c r="H36" t="s">
        <v>129</v>
      </c>
      <c r="I36">
        <v>4</v>
      </c>
      <c r="J36" s="1">
        <v>1350.95</v>
      </c>
      <c r="K36">
        <v>0.21</v>
      </c>
      <c r="L36" s="1">
        <v>3635.51</v>
      </c>
      <c r="M36" s="1">
        <v>1854.28</v>
      </c>
      <c r="N36" s="1">
        <v>44.83</v>
      </c>
      <c r="O36" t="s">
        <v>49</v>
      </c>
      <c r="P36">
        <v>3</v>
      </c>
      <c r="Q36" t="b">
        <v>0</v>
      </c>
      <c r="R36" t="s">
        <v>18</v>
      </c>
      <c r="S36">
        <v>2</v>
      </c>
      <c r="T36" t="e">
        <f>IF(#REF!&lt;=25, "Young Age", IF(#REF!&lt;=40, "Mid Age", "Old Age"))</f>
        <v>#REF!</v>
      </c>
      <c r="U36" t="str">
        <f t="shared" si="0"/>
        <v>Okay</v>
      </c>
    </row>
    <row r="37" spans="1:21" x14ac:dyDescent="0.35">
      <c r="A37" t="s">
        <v>171</v>
      </c>
      <c r="B37" s="13">
        <v>45587</v>
      </c>
      <c r="C37" t="s">
        <v>172</v>
      </c>
      <c r="D37" t="s">
        <v>3</v>
      </c>
      <c r="E37" t="s">
        <v>53</v>
      </c>
      <c r="F37" t="s">
        <v>54</v>
      </c>
      <c r="G37" t="s">
        <v>105</v>
      </c>
      <c r="H37" t="s">
        <v>174</v>
      </c>
      <c r="I37">
        <v>3</v>
      </c>
      <c r="J37" s="1">
        <v>68799.42</v>
      </c>
      <c r="K37">
        <v>7.0000000000000007E-2</v>
      </c>
      <c r="L37" s="1">
        <v>232621.97</v>
      </c>
      <c r="M37" s="1">
        <v>36091.769999999997</v>
      </c>
      <c r="N37" s="1">
        <v>48.01</v>
      </c>
      <c r="O37" t="s">
        <v>57</v>
      </c>
      <c r="P37">
        <v>1</v>
      </c>
      <c r="Q37" t="b">
        <v>0</v>
      </c>
      <c r="R37" t="s">
        <v>175</v>
      </c>
      <c r="S37">
        <v>7</v>
      </c>
      <c r="T37" t="e">
        <f>IF(#REF!&lt;=25, "Young Age", IF(#REF!&lt;=40, "Mid Age", "Old Age"))</f>
        <v>#REF!</v>
      </c>
      <c r="U37" t="str">
        <f t="shared" si="0"/>
        <v>Delayed</v>
      </c>
    </row>
    <row r="38" spans="1:21" x14ac:dyDescent="0.35">
      <c r="A38" t="s">
        <v>176</v>
      </c>
      <c r="B38" s="13">
        <v>44943</v>
      </c>
      <c r="C38" t="s">
        <v>177</v>
      </c>
      <c r="D38" t="s">
        <v>13</v>
      </c>
      <c r="E38" t="s">
        <v>53</v>
      </c>
      <c r="F38" t="s">
        <v>54</v>
      </c>
      <c r="G38" t="s">
        <v>23</v>
      </c>
      <c r="H38" t="s">
        <v>24</v>
      </c>
      <c r="I38">
        <v>3</v>
      </c>
      <c r="J38" s="1">
        <v>31242.32</v>
      </c>
      <c r="K38">
        <v>0.01</v>
      </c>
      <c r="L38" s="1">
        <v>92924.36</v>
      </c>
      <c r="M38" s="1">
        <v>27403.47</v>
      </c>
      <c r="N38" s="1">
        <v>52.73</v>
      </c>
      <c r="O38" t="s">
        <v>8</v>
      </c>
      <c r="P38">
        <v>3</v>
      </c>
      <c r="Q38" t="b">
        <v>1</v>
      </c>
      <c r="R38" t="s">
        <v>9</v>
      </c>
      <c r="S38">
        <v>4</v>
      </c>
      <c r="T38" t="e">
        <f>IF(#REF!&lt;=25, "Young Age", IF(#REF!&lt;=40, "Mid Age", "Old Age"))</f>
        <v>#REF!</v>
      </c>
      <c r="U38" t="str">
        <f t="shared" si="0"/>
        <v>Okay</v>
      </c>
    </row>
    <row r="39" spans="1:21" x14ac:dyDescent="0.35">
      <c r="A39" t="s">
        <v>179</v>
      </c>
      <c r="B39" s="13">
        <v>44726</v>
      </c>
      <c r="C39" t="s">
        <v>180</v>
      </c>
      <c r="D39" t="s">
        <v>3</v>
      </c>
      <c r="E39" t="s">
        <v>4</v>
      </c>
      <c r="F39" t="s">
        <v>48</v>
      </c>
      <c r="G39" t="s">
        <v>41</v>
      </c>
      <c r="H39" t="s">
        <v>129</v>
      </c>
      <c r="J39" s="1">
        <v>1431.29</v>
      </c>
      <c r="K39">
        <v>0.04</v>
      </c>
      <c r="L39" s="1">
        <v>1929.4</v>
      </c>
      <c r="M39" s="1">
        <v>819.7</v>
      </c>
      <c r="N39" s="1">
        <v>70.38</v>
      </c>
      <c r="O39" t="s">
        <v>49</v>
      </c>
      <c r="P39">
        <v>5</v>
      </c>
      <c r="Q39" t="b">
        <v>1</v>
      </c>
      <c r="R39" t="s">
        <v>9</v>
      </c>
      <c r="S39">
        <v>8</v>
      </c>
      <c r="T39" t="e">
        <f>IF(#REF!&lt;=25, "Young Age", IF(#REF!&lt;=40, "Mid Age", "Old Age"))</f>
        <v>#REF!</v>
      </c>
      <c r="U39" t="str">
        <f t="shared" si="0"/>
        <v>Over Delayed</v>
      </c>
    </row>
    <row r="40" spans="1:21" x14ac:dyDescent="0.35">
      <c r="A40" t="s">
        <v>182</v>
      </c>
      <c r="B40" s="13">
        <v>45473</v>
      </c>
      <c r="C40" t="s">
        <v>183</v>
      </c>
      <c r="D40" t="s">
        <v>13</v>
      </c>
      <c r="E40" t="s">
        <v>89</v>
      </c>
      <c r="F40" t="s">
        <v>99</v>
      </c>
      <c r="G40" t="s">
        <v>55</v>
      </c>
      <c r="H40" t="s">
        <v>185</v>
      </c>
      <c r="I40">
        <v>3</v>
      </c>
      <c r="J40" s="1">
        <v>1621.83</v>
      </c>
      <c r="K40">
        <v>0.4</v>
      </c>
      <c r="L40" s="1">
        <v>4851.55</v>
      </c>
      <c r="M40" s="1">
        <v>1799.06</v>
      </c>
      <c r="N40" s="1">
        <v>67.23</v>
      </c>
      <c r="O40" t="s">
        <v>49</v>
      </c>
      <c r="P40">
        <v>2</v>
      </c>
      <c r="Q40" t="b">
        <v>0</v>
      </c>
      <c r="R40" t="s">
        <v>18</v>
      </c>
      <c r="S40">
        <v>4</v>
      </c>
      <c r="T40" t="e">
        <f>IF(#REF!&lt;=25, "Young Age", IF(#REF!&lt;=40, "Mid Age", "Old Age"))</f>
        <v>#REF!</v>
      </c>
      <c r="U40" t="str">
        <f t="shared" si="0"/>
        <v>Okay</v>
      </c>
    </row>
    <row r="41" spans="1:21" x14ac:dyDescent="0.35">
      <c r="A41" t="s">
        <v>186</v>
      </c>
      <c r="B41" s="13">
        <v>43840</v>
      </c>
      <c r="C41" t="s">
        <v>187</v>
      </c>
      <c r="D41" t="s">
        <v>47</v>
      </c>
      <c r="E41" t="s">
        <v>14</v>
      </c>
      <c r="F41" t="s">
        <v>15</v>
      </c>
      <c r="G41" t="s">
        <v>41</v>
      </c>
      <c r="H41" t="s">
        <v>85</v>
      </c>
      <c r="I41">
        <v>10</v>
      </c>
      <c r="J41" s="1">
        <v>324.41000000000003</v>
      </c>
      <c r="K41">
        <v>0.32</v>
      </c>
      <c r="L41" s="1">
        <v>1810.18</v>
      </c>
      <c r="M41" s="1">
        <v>903.99</v>
      </c>
      <c r="N41" s="1">
        <v>48.24</v>
      </c>
      <c r="O41" t="s">
        <v>57</v>
      </c>
      <c r="P41">
        <v>3</v>
      </c>
      <c r="Q41" t="b">
        <v>0</v>
      </c>
      <c r="R41" t="s">
        <v>18</v>
      </c>
      <c r="S41">
        <v>4</v>
      </c>
      <c r="T41" t="e">
        <f>IF(#REF!&lt;=25, "Young Age", IF(#REF!&lt;=40, "Mid Age", "Old Age"))</f>
        <v>#REF!</v>
      </c>
      <c r="U41" t="str">
        <f t="shared" si="0"/>
        <v>Okay</v>
      </c>
    </row>
    <row r="42" spans="1:21" x14ac:dyDescent="0.35">
      <c r="A42" t="s">
        <v>189</v>
      </c>
      <c r="B42" s="13">
        <v>45077</v>
      </c>
      <c r="C42" t="s">
        <v>190</v>
      </c>
      <c r="D42" t="s">
        <v>47</v>
      </c>
      <c r="E42" t="s">
        <v>4</v>
      </c>
      <c r="F42" t="s">
        <v>148</v>
      </c>
      <c r="G42" t="s">
        <v>23</v>
      </c>
      <c r="H42" t="s">
        <v>71</v>
      </c>
      <c r="I42">
        <v>6</v>
      </c>
      <c r="J42" s="1">
        <v>20242.36</v>
      </c>
      <c r="K42">
        <v>0.04</v>
      </c>
      <c r="L42" s="1">
        <v>191398.26</v>
      </c>
      <c r="M42" s="1">
        <v>59116.34</v>
      </c>
      <c r="N42" s="1">
        <v>83.75</v>
      </c>
      <c r="O42" t="s">
        <v>49</v>
      </c>
      <c r="P42">
        <v>2</v>
      </c>
      <c r="Q42" t="b">
        <v>0</v>
      </c>
      <c r="R42" t="s">
        <v>18</v>
      </c>
      <c r="S42">
        <v>9</v>
      </c>
      <c r="T42" t="e">
        <f>IF(#REF!&lt;=25, "Young Age", IF(#REF!&lt;=40, "Mid Age", "Old Age"))</f>
        <v>#REF!</v>
      </c>
      <c r="U42" t="str">
        <f t="shared" si="0"/>
        <v>Over Delayed</v>
      </c>
    </row>
    <row r="43" spans="1:21" x14ac:dyDescent="0.35">
      <c r="A43" t="s">
        <v>192</v>
      </c>
      <c r="B43" s="13">
        <v>44711</v>
      </c>
      <c r="C43" t="s">
        <v>193</v>
      </c>
      <c r="D43" t="s">
        <v>3</v>
      </c>
      <c r="E43" t="s">
        <v>53</v>
      </c>
      <c r="F43" t="s">
        <v>79</v>
      </c>
      <c r="G43" t="s">
        <v>124</v>
      </c>
      <c r="H43" t="s">
        <v>195</v>
      </c>
      <c r="I43">
        <v>9</v>
      </c>
      <c r="J43" s="1">
        <v>14422.23</v>
      </c>
      <c r="K43">
        <v>0.21</v>
      </c>
      <c r="L43" s="1">
        <v>145427.41</v>
      </c>
      <c r="M43" s="1">
        <v>40739.980000000003</v>
      </c>
      <c r="N43" s="1">
        <v>58.92</v>
      </c>
      <c r="O43" t="s">
        <v>30</v>
      </c>
      <c r="P43">
        <v>5</v>
      </c>
      <c r="Q43" t="b">
        <v>0</v>
      </c>
      <c r="R43" t="s">
        <v>18</v>
      </c>
      <c r="S43">
        <v>1</v>
      </c>
      <c r="T43" t="e">
        <f>IF(#REF!&lt;=25, "Young Age", IF(#REF!&lt;=40, "Mid Age", "Old Age"))</f>
        <v>#REF!</v>
      </c>
      <c r="U43" t="str">
        <f t="shared" si="0"/>
        <v>Okay</v>
      </c>
    </row>
    <row r="44" spans="1:21" x14ac:dyDescent="0.35">
      <c r="A44" t="s">
        <v>196</v>
      </c>
      <c r="B44" s="13">
        <v>44013</v>
      </c>
      <c r="C44" t="s">
        <v>197</v>
      </c>
      <c r="D44" t="s">
        <v>47</v>
      </c>
      <c r="E44" t="s">
        <v>53</v>
      </c>
      <c r="F44" t="s">
        <v>170</v>
      </c>
      <c r="G44" t="s">
        <v>23</v>
      </c>
      <c r="H44" t="s">
        <v>199</v>
      </c>
      <c r="I44">
        <v>2</v>
      </c>
      <c r="J44" s="1">
        <v>33115.910000000003</v>
      </c>
      <c r="K44">
        <v>0.28000000000000003</v>
      </c>
      <c r="L44" s="1">
        <v>53911.88</v>
      </c>
      <c r="M44" s="1">
        <v>13232.77</v>
      </c>
      <c r="N44" s="1">
        <v>39.83</v>
      </c>
      <c r="O44" t="s">
        <v>30</v>
      </c>
      <c r="P44">
        <v>5</v>
      </c>
      <c r="Q44" t="b">
        <v>0</v>
      </c>
      <c r="R44" t="s">
        <v>18</v>
      </c>
      <c r="S44">
        <v>1</v>
      </c>
      <c r="T44" t="e">
        <f>IF(#REF!&lt;=25, "Young Age", IF(#REF!&lt;=40, "Mid Age", "Old Age"))</f>
        <v>#REF!</v>
      </c>
      <c r="U44" t="str">
        <f t="shared" si="0"/>
        <v>Okay</v>
      </c>
    </row>
    <row r="45" spans="1:21" x14ac:dyDescent="0.35">
      <c r="A45" t="s">
        <v>200</v>
      </c>
      <c r="B45" s="13">
        <v>45077</v>
      </c>
      <c r="C45" t="s">
        <v>201</v>
      </c>
      <c r="D45" t="s">
        <v>47</v>
      </c>
      <c r="E45" t="s">
        <v>53</v>
      </c>
      <c r="F45" t="s">
        <v>54</v>
      </c>
      <c r="G45" t="s">
        <v>124</v>
      </c>
      <c r="H45" t="s">
        <v>156</v>
      </c>
      <c r="I45">
        <v>8</v>
      </c>
      <c r="J45" s="1">
        <v>3917.74</v>
      </c>
      <c r="K45">
        <v>0.27</v>
      </c>
      <c r="L45" s="1">
        <v>36596.17</v>
      </c>
      <c r="M45" s="1">
        <v>11271.87</v>
      </c>
      <c r="N45" s="1">
        <v>60.71</v>
      </c>
      <c r="O45" t="s">
        <v>43</v>
      </c>
      <c r="P45" t="s">
        <v>2149</v>
      </c>
      <c r="Q45" t="b">
        <v>0</v>
      </c>
      <c r="R45" t="s">
        <v>18</v>
      </c>
      <c r="S45">
        <v>8</v>
      </c>
      <c r="T45" t="e">
        <f>IF(#REF!&lt;=25, "Young Age", IF(#REF!&lt;=40, "Mid Age", "Old Age"))</f>
        <v>#REF!</v>
      </c>
      <c r="U45" t="str">
        <f t="shared" si="0"/>
        <v>Over Delayed</v>
      </c>
    </row>
    <row r="46" spans="1:21" x14ac:dyDescent="0.35">
      <c r="A46" t="s">
        <v>203</v>
      </c>
      <c r="B46" s="13">
        <v>44174</v>
      </c>
      <c r="C46" t="s">
        <v>204</v>
      </c>
      <c r="D46" t="s">
        <v>47</v>
      </c>
      <c r="E46" t="s">
        <v>89</v>
      </c>
      <c r="F46" t="s">
        <v>90</v>
      </c>
      <c r="G46" t="s">
        <v>23</v>
      </c>
      <c r="H46" t="s">
        <v>164</v>
      </c>
      <c r="I46">
        <v>4</v>
      </c>
      <c r="J46" s="1">
        <v>11267.5</v>
      </c>
      <c r="K46">
        <v>0.2</v>
      </c>
      <c r="L46" s="1">
        <v>24230.41</v>
      </c>
      <c r="M46" s="1">
        <v>7321.53</v>
      </c>
      <c r="N46" s="1">
        <v>70.73</v>
      </c>
      <c r="O46" t="s">
        <v>57</v>
      </c>
      <c r="P46">
        <v>4</v>
      </c>
      <c r="Q46" t="b">
        <v>0</v>
      </c>
      <c r="R46" t="s">
        <v>18</v>
      </c>
      <c r="S46">
        <v>1</v>
      </c>
      <c r="T46" t="e">
        <f>IF(#REF!&lt;=25, "Young Age", IF(#REF!&lt;=40, "Mid Age", "Old Age"))</f>
        <v>#REF!</v>
      </c>
      <c r="U46" t="str">
        <f t="shared" si="0"/>
        <v>Okay</v>
      </c>
    </row>
    <row r="47" spans="1:21" x14ac:dyDescent="0.35">
      <c r="A47" t="s">
        <v>206</v>
      </c>
      <c r="B47" s="13">
        <v>45283</v>
      </c>
      <c r="C47" t="s">
        <v>207</v>
      </c>
      <c r="D47" t="s">
        <v>13</v>
      </c>
      <c r="E47" t="s">
        <v>61</v>
      </c>
      <c r="F47" t="s">
        <v>62</v>
      </c>
      <c r="G47" t="s">
        <v>16</v>
      </c>
      <c r="H47" t="s">
        <v>209</v>
      </c>
      <c r="I47">
        <v>5</v>
      </c>
      <c r="J47" s="1">
        <v>2497.1</v>
      </c>
      <c r="K47">
        <v>0.37</v>
      </c>
      <c r="L47" s="1">
        <v>6596.23</v>
      </c>
      <c r="M47" s="1">
        <v>2649.2</v>
      </c>
      <c r="N47" s="1">
        <v>61.27</v>
      </c>
      <c r="O47" t="s">
        <v>43</v>
      </c>
      <c r="P47">
        <v>1</v>
      </c>
      <c r="Q47" t="b">
        <v>0</v>
      </c>
      <c r="R47" t="s">
        <v>115</v>
      </c>
      <c r="S47">
        <v>5</v>
      </c>
      <c r="T47" t="e">
        <f>IF(#REF!&lt;=25, "Young Age", IF(#REF!&lt;=40, "Mid Age", "Old Age"))</f>
        <v>#REF!</v>
      </c>
      <c r="U47" t="str">
        <f t="shared" si="0"/>
        <v>Delayed</v>
      </c>
    </row>
    <row r="48" spans="1:21" x14ac:dyDescent="0.35">
      <c r="A48" t="s">
        <v>210</v>
      </c>
      <c r="B48" s="13">
        <v>44822</v>
      </c>
      <c r="C48" t="s">
        <v>211</v>
      </c>
      <c r="D48" t="s">
        <v>3</v>
      </c>
      <c r="E48" t="s">
        <v>4</v>
      </c>
      <c r="F48" t="s">
        <v>5</v>
      </c>
      <c r="G48" t="s">
        <v>105</v>
      </c>
      <c r="H48" t="s">
        <v>174</v>
      </c>
      <c r="I48">
        <v>5</v>
      </c>
      <c r="J48" s="1">
        <v>11463.02</v>
      </c>
      <c r="K48">
        <v>0.34</v>
      </c>
      <c r="L48" s="1">
        <v>44107</v>
      </c>
      <c r="M48" s="1">
        <v>3355.55</v>
      </c>
      <c r="N48" s="1">
        <v>36.32</v>
      </c>
      <c r="O48" t="s">
        <v>43</v>
      </c>
      <c r="P48">
        <v>5</v>
      </c>
      <c r="Q48" t="b">
        <v>0</v>
      </c>
      <c r="R48" t="s">
        <v>18</v>
      </c>
      <c r="S48">
        <v>10</v>
      </c>
      <c r="T48" t="e">
        <f>IF(#REF!&lt;=25, "Young Age", IF(#REF!&lt;=40, "Mid Age", "Old Age"))</f>
        <v>#REF!</v>
      </c>
      <c r="U48" t="str">
        <f t="shared" si="0"/>
        <v>Over Delayed</v>
      </c>
    </row>
    <row r="49" spans="1:21" x14ac:dyDescent="0.35">
      <c r="A49" t="s">
        <v>213</v>
      </c>
      <c r="B49" s="13">
        <v>45618</v>
      </c>
      <c r="C49" t="s">
        <v>214</v>
      </c>
      <c r="D49" t="s">
        <v>47</v>
      </c>
      <c r="E49" t="s">
        <v>4</v>
      </c>
      <c r="F49" t="s">
        <v>148</v>
      </c>
      <c r="G49" t="s">
        <v>41</v>
      </c>
      <c r="H49" t="s">
        <v>129</v>
      </c>
      <c r="I49">
        <v>7</v>
      </c>
      <c r="J49" s="1">
        <v>785.67</v>
      </c>
      <c r="K49">
        <v>0.12</v>
      </c>
      <c r="L49" s="1">
        <v>4582.79</v>
      </c>
      <c r="M49" s="1">
        <v>2037.5</v>
      </c>
      <c r="N49" s="1">
        <v>63.64</v>
      </c>
      <c r="O49" t="s">
        <v>49</v>
      </c>
      <c r="P49">
        <v>3</v>
      </c>
      <c r="Q49" t="b">
        <v>0</v>
      </c>
      <c r="R49" t="s">
        <v>18</v>
      </c>
      <c r="S49">
        <v>2</v>
      </c>
      <c r="T49" t="e">
        <f>IF(#REF!&lt;=25, "Young Age", IF(#REF!&lt;=40, "Mid Age", "Old Age"))</f>
        <v>#REF!</v>
      </c>
      <c r="U49" t="str">
        <f t="shared" si="0"/>
        <v>Okay</v>
      </c>
    </row>
    <row r="50" spans="1:21" x14ac:dyDescent="0.35">
      <c r="A50" t="s">
        <v>216</v>
      </c>
      <c r="B50" s="13">
        <v>44151</v>
      </c>
      <c r="C50" t="s">
        <v>217</v>
      </c>
      <c r="D50" t="s">
        <v>47</v>
      </c>
      <c r="E50" t="s">
        <v>53</v>
      </c>
      <c r="F50" t="s">
        <v>79</v>
      </c>
      <c r="G50" t="s">
        <v>55</v>
      </c>
      <c r="H50" t="s">
        <v>185</v>
      </c>
      <c r="I50">
        <v>2</v>
      </c>
      <c r="J50" s="1">
        <v>1557.26</v>
      </c>
      <c r="K50">
        <v>0.13</v>
      </c>
      <c r="L50" s="1">
        <v>1859.03</v>
      </c>
      <c r="M50" s="1">
        <v>840.29</v>
      </c>
      <c r="N50" s="1">
        <v>50.66</v>
      </c>
      <c r="O50" t="s">
        <v>30</v>
      </c>
      <c r="P50">
        <v>2</v>
      </c>
      <c r="Q50" t="b">
        <v>0</v>
      </c>
      <c r="R50" t="s">
        <v>18</v>
      </c>
      <c r="S50">
        <v>10</v>
      </c>
      <c r="T50" t="e">
        <f>IF(#REF!&lt;=25, "Young Age", IF(#REF!&lt;=40, "Mid Age", "Old Age"))</f>
        <v>#REF!</v>
      </c>
      <c r="U50" t="str">
        <f t="shared" si="0"/>
        <v>Over Delayed</v>
      </c>
    </row>
    <row r="51" spans="1:21" x14ac:dyDescent="0.35">
      <c r="A51" t="s">
        <v>219</v>
      </c>
      <c r="B51" s="13">
        <v>44656</v>
      </c>
      <c r="C51" t="s">
        <v>220</v>
      </c>
      <c r="D51" t="s">
        <v>13</v>
      </c>
      <c r="E51" t="s">
        <v>61</v>
      </c>
      <c r="F51" t="s">
        <v>222</v>
      </c>
      <c r="G51" t="s">
        <v>6</v>
      </c>
      <c r="H51" t="s">
        <v>35</v>
      </c>
      <c r="I51">
        <v>2</v>
      </c>
      <c r="J51" s="1">
        <v>393.55</v>
      </c>
      <c r="K51">
        <v>0.02</v>
      </c>
      <c r="L51" s="1">
        <v>1057.6500000000001</v>
      </c>
      <c r="M51" s="1">
        <v>87.14</v>
      </c>
      <c r="N51" s="1">
        <v>87.03</v>
      </c>
      <c r="O51" t="s">
        <v>8</v>
      </c>
      <c r="P51">
        <v>1</v>
      </c>
      <c r="Q51" t="b">
        <v>0</v>
      </c>
      <c r="R51" t="s">
        <v>18</v>
      </c>
      <c r="S51">
        <v>1</v>
      </c>
      <c r="T51" t="e">
        <f>IF(#REF!&lt;=25, "Young Age", IF(#REF!&lt;=40, "Mid Age", "Old Age"))</f>
        <v>#REF!</v>
      </c>
      <c r="U51" t="str">
        <f t="shared" si="0"/>
        <v>Okay</v>
      </c>
    </row>
    <row r="52" spans="1:21" x14ac:dyDescent="0.35">
      <c r="A52" t="s">
        <v>223</v>
      </c>
      <c r="B52" s="13">
        <v>44306</v>
      </c>
      <c r="C52" t="s">
        <v>224</v>
      </c>
      <c r="D52" t="s">
        <v>47</v>
      </c>
      <c r="E52" t="s">
        <v>53</v>
      </c>
      <c r="F52" t="s">
        <v>79</v>
      </c>
      <c r="G52" t="s">
        <v>124</v>
      </c>
      <c r="H52" t="s">
        <v>139</v>
      </c>
      <c r="I52">
        <v>5</v>
      </c>
      <c r="J52" s="1">
        <v>8244.31</v>
      </c>
      <c r="K52">
        <v>0.12</v>
      </c>
      <c r="L52" s="1">
        <v>49710.43</v>
      </c>
      <c r="M52" s="1">
        <v>13744.26</v>
      </c>
      <c r="N52" s="1">
        <v>51.59</v>
      </c>
      <c r="O52" t="s">
        <v>43</v>
      </c>
      <c r="P52">
        <v>1</v>
      </c>
      <c r="Q52" t="b">
        <v>0</v>
      </c>
      <c r="R52" t="s">
        <v>18</v>
      </c>
      <c r="S52">
        <v>4</v>
      </c>
      <c r="T52" t="e">
        <f>IF(#REF!&lt;=25, "Young Age", IF(#REF!&lt;=40, "Mid Age", "Old Age"))</f>
        <v>#REF!</v>
      </c>
      <c r="U52" t="str">
        <f t="shared" si="0"/>
        <v>Okay</v>
      </c>
    </row>
    <row r="53" spans="1:21" x14ac:dyDescent="0.35">
      <c r="A53" t="s">
        <v>226</v>
      </c>
      <c r="B53" s="13">
        <v>44701</v>
      </c>
      <c r="C53" t="s">
        <v>227</v>
      </c>
      <c r="D53" t="s">
        <v>13</v>
      </c>
      <c r="E53" t="s">
        <v>61</v>
      </c>
      <c r="F53" t="s">
        <v>104</v>
      </c>
      <c r="G53" t="s">
        <v>41</v>
      </c>
      <c r="H53" t="s">
        <v>129</v>
      </c>
      <c r="I53">
        <v>5</v>
      </c>
      <c r="J53" s="1">
        <v>1063.6199999999999</v>
      </c>
      <c r="K53">
        <v>0.16</v>
      </c>
      <c r="L53" s="1">
        <v>6991.06</v>
      </c>
      <c r="M53" s="1">
        <v>2963.48</v>
      </c>
      <c r="N53" s="1">
        <v>62.28</v>
      </c>
      <c r="O53" t="s">
        <v>57</v>
      </c>
      <c r="P53" t="s">
        <v>2149</v>
      </c>
      <c r="Q53" t="b">
        <v>0</v>
      </c>
      <c r="R53" t="s">
        <v>18</v>
      </c>
      <c r="S53">
        <v>5</v>
      </c>
      <c r="T53" t="e">
        <f>IF(#REF!&lt;=25, "Young Age", IF(#REF!&lt;=40, "Mid Age", "Old Age"))</f>
        <v>#REF!</v>
      </c>
      <c r="U53" t="str">
        <f t="shared" si="0"/>
        <v>Delayed</v>
      </c>
    </row>
    <row r="54" spans="1:21" x14ac:dyDescent="0.35">
      <c r="A54" t="s">
        <v>229</v>
      </c>
      <c r="B54" s="13">
        <v>45143</v>
      </c>
      <c r="C54" t="s">
        <v>230</v>
      </c>
      <c r="D54" t="s">
        <v>3</v>
      </c>
      <c r="E54" t="s">
        <v>53</v>
      </c>
      <c r="F54" t="s">
        <v>54</v>
      </c>
      <c r="G54" t="s">
        <v>6</v>
      </c>
      <c r="H54" t="s">
        <v>7</v>
      </c>
      <c r="I54">
        <v>7</v>
      </c>
      <c r="J54" s="1">
        <v>315.62</v>
      </c>
      <c r="K54">
        <v>0.28000000000000003</v>
      </c>
      <c r="L54" s="1">
        <v>2026.01</v>
      </c>
      <c r="M54" s="1">
        <v>104.43</v>
      </c>
      <c r="N54" s="1">
        <v>72.63</v>
      </c>
      <c r="O54" t="s">
        <v>49</v>
      </c>
      <c r="P54">
        <v>5</v>
      </c>
      <c r="Q54" t="b">
        <v>0</v>
      </c>
      <c r="R54" t="s">
        <v>18</v>
      </c>
      <c r="S54">
        <v>7</v>
      </c>
      <c r="T54" t="e">
        <f>IF(#REF!&lt;=25, "Young Age", IF(#REF!&lt;=40, "Mid Age", "Old Age"))</f>
        <v>#REF!</v>
      </c>
      <c r="U54" t="str">
        <f t="shared" si="0"/>
        <v>Delayed</v>
      </c>
    </row>
    <row r="55" spans="1:21" x14ac:dyDescent="0.35">
      <c r="A55" t="s">
        <v>232</v>
      </c>
      <c r="B55" s="13">
        <v>45063</v>
      </c>
      <c r="C55" t="s">
        <v>233</v>
      </c>
      <c r="D55" t="s">
        <v>47</v>
      </c>
      <c r="E55" t="s">
        <v>14</v>
      </c>
      <c r="F55" t="s">
        <v>28</v>
      </c>
      <c r="G55" t="s">
        <v>16</v>
      </c>
      <c r="H55" t="s">
        <v>80</v>
      </c>
      <c r="I55">
        <v>1</v>
      </c>
      <c r="J55" s="1">
        <v>697.15</v>
      </c>
      <c r="K55">
        <v>0.18</v>
      </c>
      <c r="L55" s="1">
        <v>867.37</v>
      </c>
      <c r="M55" s="1">
        <v>335.66</v>
      </c>
      <c r="N55" s="1">
        <v>48.84</v>
      </c>
      <c r="O55" t="s">
        <v>8</v>
      </c>
      <c r="P55">
        <v>3</v>
      </c>
      <c r="Q55" t="b">
        <v>0</v>
      </c>
      <c r="R55" t="s">
        <v>37</v>
      </c>
      <c r="S55">
        <v>10</v>
      </c>
      <c r="T55" t="e">
        <f>IF(#REF!&lt;=25, "Young Age", IF(#REF!&lt;=40, "Mid Age", "Old Age"))</f>
        <v>#REF!</v>
      </c>
      <c r="U55" t="str">
        <f t="shared" si="0"/>
        <v>Over Delayed</v>
      </c>
    </row>
    <row r="56" spans="1:21" x14ac:dyDescent="0.35">
      <c r="A56" t="s">
        <v>235</v>
      </c>
      <c r="B56" s="13">
        <v>44046</v>
      </c>
      <c r="C56" t="s">
        <v>236</v>
      </c>
      <c r="D56" t="s">
        <v>13</v>
      </c>
      <c r="E56" t="s">
        <v>4</v>
      </c>
      <c r="F56" t="s">
        <v>5</v>
      </c>
      <c r="G56" t="s">
        <v>105</v>
      </c>
      <c r="H56" t="s">
        <v>106</v>
      </c>
      <c r="I56">
        <v>2</v>
      </c>
      <c r="J56" s="1">
        <v>52363.15</v>
      </c>
      <c r="K56">
        <v>0.25</v>
      </c>
      <c r="L56" s="1">
        <v>89225.91</v>
      </c>
      <c r="M56" s="1">
        <v>14474.33</v>
      </c>
      <c r="N56" s="1">
        <v>45.26</v>
      </c>
      <c r="O56" t="s">
        <v>36</v>
      </c>
      <c r="P56">
        <v>2</v>
      </c>
      <c r="Q56" t="b">
        <v>0</v>
      </c>
      <c r="R56" t="s">
        <v>37</v>
      </c>
      <c r="S56">
        <v>9</v>
      </c>
      <c r="T56" t="e">
        <f>IF(#REF!&lt;=25, "Young Age", IF(#REF!&lt;=40, "Mid Age", "Old Age"))</f>
        <v>#REF!</v>
      </c>
      <c r="U56" t="str">
        <f t="shared" si="0"/>
        <v>Over Delayed</v>
      </c>
    </row>
    <row r="57" spans="1:21" x14ac:dyDescent="0.35">
      <c r="A57" t="s">
        <v>238</v>
      </c>
      <c r="B57" s="13">
        <v>43986</v>
      </c>
      <c r="C57" t="s">
        <v>239</v>
      </c>
      <c r="D57" t="s">
        <v>13</v>
      </c>
      <c r="E57" t="s">
        <v>14</v>
      </c>
      <c r="F57" t="s">
        <v>22</v>
      </c>
      <c r="G57" t="s">
        <v>124</v>
      </c>
      <c r="H57" t="s">
        <v>139</v>
      </c>
      <c r="I57">
        <v>3</v>
      </c>
      <c r="J57" s="1">
        <v>2684.91</v>
      </c>
      <c r="K57">
        <v>0.15</v>
      </c>
      <c r="L57" s="1">
        <v>9541.81</v>
      </c>
      <c r="M57" s="1">
        <v>2543.29</v>
      </c>
      <c r="N57" s="1">
        <v>67.28</v>
      </c>
      <c r="O57" t="s">
        <v>36</v>
      </c>
      <c r="P57">
        <v>2</v>
      </c>
      <c r="Q57" t="b">
        <v>0</v>
      </c>
      <c r="R57" t="s">
        <v>18</v>
      </c>
      <c r="S57">
        <v>9</v>
      </c>
      <c r="T57" t="e">
        <f>IF(#REF!&lt;=25, "Young Age", IF(#REF!&lt;=40, "Mid Age", "Old Age"))</f>
        <v>#REF!</v>
      </c>
      <c r="U57" t="str">
        <f t="shared" si="0"/>
        <v>Over Delayed</v>
      </c>
    </row>
    <row r="58" spans="1:21" x14ac:dyDescent="0.35">
      <c r="A58" t="s">
        <v>241</v>
      </c>
      <c r="B58" s="13">
        <v>45160</v>
      </c>
      <c r="C58" t="s">
        <v>242</v>
      </c>
      <c r="D58" t="s">
        <v>47</v>
      </c>
      <c r="E58" t="s">
        <v>53</v>
      </c>
      <c r="F58" t="s">
        <v>54</v>
      </c>
      <c r="G58" t="s">
        <v>41</v>
      </c>
      <c r="H58" t="s">
        <v>244</v>
      </c>
      <c r="I58">
        <v>4</v>
      </c>
      <c r="J58" s="1">
        <v>889.6</v>
      </c>
      <c r="K58">
        <v>0.36</v>
      </c>
      <c r="L58" s="1">
        <v>3597.1</v>
      </c>
      <c r="M58" s="1">
        <v>1076.9100000000001</v>
      </c>
      <c r="N58" s="1">
        <v>58.16</v>
      </c>
      <c r="O58" t="s">
        <v>49</v>
      </c>
      <c r="P58">
        <v>3</v>
      </c>
      <c r="Q58" t="b">
        <v>1</v>
      </c>
      <c r="R58" t="s">
        <v>9</v>
      </c>
      <c r="S58">
        <v>3</v>
      </c>
      <c r="T58" t="e">
        <f>IF(#REF!&lt;=25, "Young Age", IF(#REF!&lt;=40, "Mid Age", "Old Age"))</f>
        <v>#REF!</v>
      </c>
      <c r="U58" t="str">
        <f t="shared" si="0"/>
        <v>Okay</v>
      </c>
    </row>
    <row r="59" spans="1:21" x14ac:dyDescent="0.35">
      <c r="A59" t="s">
        <v>245</v>
      </c>
      <c r="B59" s="13">
        <v>43984</v>
      </c>
      <c r="C59" t="s">
        <v>246</v>
      </c>
      <c r="D59" t="s">
        <v>47</v>
      </c>
      <c r="E59" t="s">
        <v>4</v>
      </c>
      <c r="F59" t="s">
        <v>34</v>
      </c>
      <c r="G59" t="s">
        <v>55</v>
      </c>
      <c r="H59" t="s">
        <v>185</v>
      </c>
      <c r="I59">
        <v>2</v>
      </c>
      <c r="J59" s="1">
        <v>1548.43</v>
      </c>
      <c r="K59">
        <v>0.38</v>
      </c>
      <c r="L59" s="1">
        <v>2480.54</v>
      </c>
      <c r="M59" s="1">
        <v>866.5</v>
      </c>
      <c r="N59" s="1">
        <v>49.01</v>
      </c>
      <c r="O59" t="s">
        <v>30</v>
      </c>
      <c r="P59">
        <v>1</v>
      </c>
      <c r="Q59" t="b">
        <v>0</v>
      </c>
      <c r="R59" t="s">
        <v>18</v>
      </c>
      <c r="S59">
        <v>45</v>
      </c>
      <c r="T59" t="e">
        <f>IF(#REF!&lt;=25, "Young Age", IF(#REF!&lt;=40, "Mid Age", "Old Age"))</f>
        <v>#REF!</v>
      </c>
      <c r="U59" t="str">
        <f t="shared" si="0"/>
        <v>Over Delayed</v>
      </c>
    </row>
    <row r="60" spans="1:21" x14ac:dyDescent="0.35">
      <c r="A60" t="s">
        <v>248</v>
      </c>
      <c r="B60" s="13">
        <v>45465</v>
      </c>
      <c r="C60" t="s">
        <v>249</v>
      </c>
      <c r="D60" t="s">
        <v>3</v>
      </c>
      <c r="E60" t="s">
        <v>14</v>
      </c>
      <c r="F60" t="s">
        <v>22</v>
      </c>
      <c r="G60" t="s">
        <v>41</v>
      </c>
      <c r="H60" t="s">
        <v>129</v>
      </c>
      <c r="I60">
        <v>1</v>
      </c>
      <c r="J60" s="1">
        <v>787.78</v>
      </c>
      <c r="K60">
        <v>0.15</v>
      </c>
      <c r="L60" s="1">
        <v>1146.29</v>
      </c>
      <c r="M60" s="1">
        <v>520.99</v>
      </c>
      <c r="N60" s="1">
        <v>47.1</v>
      </c>
      <c r="O60" t="s">
        <v>49</v>
      </c>
      <c r="P60">
        <v>2</v>
      </c>
      <c r="Q60" t="b">
        <v>0</v>
      </c>
      <c r="R60" t="s">
        <v>18</v>
      </c>
      <c r="S60">
        <v>9</v>
      </c>
      <c r="T60" t="e">
        <f>IF(#REF!&lt;=25, "Young Age", IF(#REF!&lt;=40, "Mid Age", "Old Age"))</f>
        <v>#REF!</v>
      </c>
      <c r="U60" t="str">
        <f t="shared" si="0"/>
        <v>Over Delayed</v>
      </c>
    </row>
    <row r="61" spans="1:21" x14ac:dyDescent="0.35">
      <c r="A61" t="s">
        <v>251</v>
      </c>
      <c r="B61" s="13">
        <v>43873</v>
      </c>
      <c r="C61" t="s">
        <v>252</v>
      </c>
      <c r="D61" t="s">
        <v>47</v>
      </c>
      <c r="E61" t="s">
        <v>89</v>
      </c>
      <c r="F61" t="s">
        <v>90</v>
      </c>
      <c r="G61" t="s">
        <v>124</v>
      </c>
      <c r="H61" t="s">
        <v>254</v>
      </c>
      <c r="I61">
        <v>3</v>
      </c>
      <c r="J61" s="1">
        <v>6047.51</v>
      </c>
      <c r="K61">
        <v>0.08</v>
      </c>
      <c r="L61" s="1">
        <v>13365.94</v>
      </c>
      <c r="M61" s="1">
        <v>2741.49</v>
      </c>
      <c r="N61" s="1">
        <v>36.15</v>
      </c>
      <c r="O61" t="s">
        <v>8</v>
      </c>
      <c r="P61">
        <v>4</v>
      </c>
      <c r="Q61" t="b">
        <v>0</v>
      </c>
      <c r="R61" t="s">
        <v>18</v>
      </c>
      <c r="S61">
        <v>3</v>
      </c>
      <c r="T61" t="e">
        <f>IF(#REF!&lt;=25, "Young Age", IF(#REF!&lt;=40, "Mid Age", "Old Age"))</f>
        <v>#REF!</v>
      </c>
      <c r="U61" t="str">
        <f t="shared" si="0"/>
        <v>Okay</v>
      </c>
    </row>
    <row r="62" spans="1:21" x14ac:dyDescent="0.35">
      <c r="A62" t="s">
        <v>255</v>
      </c>
      <c r="B62" s="13">
        <v>43929</v>
      </c>
      <c r="C62" t="s">
        <v>256</v>
      </c>
      <c r="D62" t="s">
        <v>13</v>
      </c>
      <c r="E62" t="s">
        <v>4</v>
      </c>
      <c r="F62" t="s">
        <v>34</v>
      </c>
      <c r="G62" t="s">
        <v>124</v>
      </c>
      <c r="H62" t="s">
        <v>195</v>
      </c>
      <c r="I62">
        <v>1</v>
      </c>
      <c r="J62" s="1">
        <v>5935.12</v>
      </c>
      <c r="K62">
        <v>0.08</v>
      </c>
      <c r="L62" s="1">
        <v>6293.66</v>
      </c>
      <c r="M62" s="1">
        <v>1165.6300000000001</v>
      </c>
      <c r="N62" s="1">
        <v>47.97</v>
      </c>
      <c r="O62" t="s">
        <v>49</v>
      </c>
      <c r="P62">
        <v>5</v>
      </c>
      <c r="Q62" t="b">
        <v>0</v>
      </c>
      <c r="R62" t="s">
        <v>18</v>
      </c>
      <c r="S62">
        <v>7</v>
      </c>
      <c r="T62" t="e">
        <f>IF(#REF!&lt;=25, "Young Age", IF(#REF!&lt;=40, "Mid Age", "Old Age"))</f>
        <v>#REF!</v>
      </c>
      <c r="U62" t="str">
        <f t="shared" si="0"/>
        <v>Delayed</v>
      </c>
    </row>
    <row r="63" spans="1:21" x14ac:dyDescent="0.35">
      <c r="A63" t="s">
        <v>258</v>
      </c>
      <c r="B63" s="13">
        <v>44405</v>
      </c>
      <c r="C63" t="s">
        <v>259</v>
      </c>
      <c r="D63" t="s">
        <v>47</v>
      </c>
      <c r="E63" t="s">
        <v>14</v>
      </c>
      <c r="F63" t="s">
        <v>84</v>
      </c>
      <c r="G63" t="s">
        <v>41</v>
      </c>
      <c r="H63" t="s">
        <v>261</v>
      </c>
      <c r="J63" s="1">
        <v>1490.57</v>
      </c>
      <c r="K63">
        <v>0.13</v>
      </c>
      <c r="L63" s="1">
        <v>1761.29</v>
      </c>
      <c r="M63" s="1">
        <v>922.64</v>
      </c>
      <c r="N63" s="1">
        <v>65.569999999999993</v>
      </c>
      <c r="O63" t="s">
        <v>30</v>
      </c>
      <c r="P63">
        <v>1</v>
      </c>
      <c r="Q63" t="b">
        <v>0</v>
      </c>
      <c r="R63" t="s">
        <v>18</v>
      </c>
      <c r="S63">
        <v>7</v>
      </c>
      <c r="T63" t="e">
        <f>IF(#REF!&lt;=25, "Young Age", IF(#REF!&lt;=40, "Mid Age", "Old Age"))</f>
        <v>#REF!</v>
      </c>
      <c r="U63" t="str">
        <f t="shared" si="0"/>
        <v>Delayed</v>
      </c>
    </row>
    <row r="64" spans="1:21" x14ac:dyDescent="0.35">
      <c r="A64" t="s">
        <v>262</v>
      </c>
      <c r="B64" s="13">
        <v>44676</v>
      </c>
      <c r="C64" t="s">
        <v>263</v>
      </c>
      <c r="D64" t="s">
        <v>13</v>
      </c>
      <c r="E64" t="s">
        <v>89</v>
      </c>
      <c r="F64" t="s">
        <v>119</v>
      </c>
      <c r="G64" t="s">
        <v>55</v>
      </c>
      <c r="H64" t="s">
        <v>91</v>
      </c>
      <c r="I64">
        <v>2</v>
      </c>
      <c r="J64" s="1">
        <v>1244.43</v>
      </c>
      <c r="K64">
        <v>0.23</v>
      </c>
      <c r="L64" s="1">
        <v>2660.47</v>
      </c>
      <c r="M64" s="1">
        <v>1061.94</v>
      </c>
      <c r="N64" s="1">
        <v>75.05</v>
      </c>
      <c r="O64" t="s">
        <v>36</v>
      </c>
      <c r="P64">
        <v>5</v>
      </c>
      <c r="Q64" t="b">
        <v>0</v>
      </c>
      <c r="R64" t="s">
        <v>18</v>
      </c>
      <c r="S64">
        <v>2</v>
      </c>
      <c r="T64" t="e">
        <f>IF(#REF!&lt;=25, "Young Age", IF(#REF!&lt;=40, "Mid Age", "Old Age"))</f>
        <v>#REF!</v>
      </c>
      <c r="U64" t="str">
        <f t="shared" si="0"/>
        <v>Okay</v>
      </c>
    </row>
    <row r="65" spans="1:21" x14ac:dyDescent="0.35">
      <c r="A65" t="s">
        <v>265</v>
      </c>
      <c r="B65" s="13">
        <v>44811</v>
      </c>
      <c r="C65" t="s">
        <v>266</v>
      </c>
      <c r="D65" t="s">
        <v>3</v>
      </c>
      <c r="E65" t="s">
        <v>53</v>
      </c>
      <c r="F65" t="s">
        <v>170</v>
      </c>
      <c r="G65" t="s">
        <v>23</v>
      </c>
      <c r="H65" t="s">
        <v>95</v>
      </c>
      <c r="I65">
        <v>2</v>
      </c>
      <c r="J65" s="1">
        <v>22082.21</v>
      </c>
      <c r="K65">
        <v>0</v>
      </c>
      <c r="L65" s="1">
        <v>51389.35</v>
      </c>
      <c r="M65" s="1">
        <v>9844.24</v>
      </c>
      <c r="N65" s="1">
        <v>70.14</v>
      </c>
      <c r="O65" t="s">
        <v>8</v>
      </c>
      <c r="P65">
        <v>1</v>
      </c>
      <c r="Q65" t="b">
        <v>0</v>
      </c>
      <c r="R65" t="s">
        <v>37</v>
      </c>
      <c r="S65">
        <v>7</v>
      </c>
      <c r="T65" t="e">
        <f>IF(#REF!&lt;=25, "Young Age", IF(#REF!&lt;=40, "Mid Age", "Old Age"))</f>
        <v>#REF!</v>
      </c>
      <c r="U65" t="str">
        <f t="shared" si="0"/>
        <v>Delayed</v>
      </c>
    </row>
    <row r="66" spans="1:21" x14ac:dyDescent="0.35">
      <c r="A66" t="s">
        <v>268</v>
      </c>
      <c r="B66" s="13">
        <v>44272</v>
      </c>
      <c r="C66" t="s">
        <v>269</v>
      </c>
      <c r="D66" t="s">
        <v>3</v>
      </c>
      <c r="E66" t="s">
        <v>61</v>
      </c>
      <c r="F66" t="s">
        <v>271</v>
      </c>
      <c r="G66" t="s">
        <v>105</v>
      </c>
      <c r="H66" t="s">
        <v>149</v>
      </c>
      <c r="I66">
        <v>4</v>
      </c>
      <c r="J66" s="1">
        <v>11157.11</v>
      </c>
      <c r="K66">
        <v>0.38</v>
      </c>
      <c r="L66" s="1">
        <v>32774.69</v>
      </c>
      <c r="M66" s="1">
        <v>3797.24</v>
      </c>
      <c r="N66" s="1">
        <v>55.14</v>
      </c>
      <c r="O66" t="s">
        <v>49</v>
      </c>
      <c r="P66">
        <v>1</v>
      </c>
      <c r="Q66" t="b">
        <v>1</v>
      </c>
      <c r="R66" t="s">
        <v>9</v>
      </c>
      <c r="S66">
        <v>8</v>
      </c>
      <c r="T66" t="e">
        <f>IF(#REF!&lt;=25, "Young Age", IF(#REF!&lt;=40, "Mid Age", "Old Age"))</f>
        <v>#REF!</v>
      </c>
      <c r="U66" t="str">
        <f t="shared" ref="U66:U129" si="1">IF(S66 &lt;=4, "Okay", IF(S66 &lt;=7, "Delayed", "Over Delayed"))</f>
        <v>Over Delayed</v>
      </c>
    </row>
    <row r="67" spans="1:21" x14ac:dyDescent="0.35">
      <c r="A67" t="s">
        <v>272</v>
      </c>
      <c r="B67" s="13">
        <v>44229</v>
      </c>
      <c r="C67" t="s">
        <v>273</v>
      </c>
      <c r="D67" t="s">
        <v>3</v>
      </c>
      <c r="E67" t="s">
        <v>61</v>
      </c>
      <c r="F67" t="s">
        <v>271</v>
      </c>
      <c r="G67" t="s">
        <v>41</v>
      </c>
      <c r="H67" t="s">
        <v>129</v>
      </c>
      <c r="I67">
        <v>7</v>
      </c>
      <c r="J67" s="1">
        <v>914.96</v>
      </c>
      <c r="K67">
        <v>0.36</v>
      </c>
      <c r="L67" s="1">
        <v>3687.74</v>
      </c>
      <c r="M67" s="1">
        <v>1423.3</v>
      </c>
      <c r="N67" s="1">
        <v>77.84</v>
      </c>
      <c r="O67" t="s">
        <v>57</v>
      </c>
      <c r="P67" t="s">
        <v>2149</v>
      </c>
      <c r="Q67" t="b">
        <v>0</v>
      </c>
      <c r="R67" t="s">
        <v>18</v>
      </c>
      <c r="S67">
        <v>5</v>
      </c>
      <c r="T67" t="e">
        <f>IF(#REF!&lt;=25, "Young Age", IF(#REF!&lt;=40, "Mid Age", "Old Age"))</f>
        <v>#REF!</v>
      </c>
      <c r="U67" t="str">
        <f t="shared" si="1"/>
        <v>Delayed</v>
      </c>
    </row>
    <row r="68" spans="1:21" x14ac:dyDescent="0.35">
      <c r="A68" t="s">
        <v>274</v>
      </c>
      <c r="B68" s="13">
        <v>44432</v>
      </c>
      <c r="C68" t="s">
        <v>275</v>
      </c>
      <c r="D68" t="s">
        <v>13</v>
      </c>
      <c r="E68" t="s">
        <v>53</v>
      </c>
      <c r="F68" t="s">
        <v>170</v>
      </c>
      <c r="G68" t="s">
        <v>55</v>
      </c>
      <c r="H68" t="s">
        <v>110</v>
      </c>
      <c r="I68">
        <v>5</v>
      </c>
      <c r="J68" s="1">
        <v>1008.19</v>
      </c>
      <c r="K68">
        <v>0.27</v>
      </c>
      <c r="L68" s="1">
        <v>4205.92</v>
      </c>
      <c r="M68" s="1">
        <v>1377.84</v>
      </c>
      <c r="N68" s="1">
        <v>53.22</v>
      </c>
      <c r="O68" t="s">
        <v>57</v>
      </c>
      <c r="P68">
        <v>1</v>
      </c>
      <c r="Q68" t="b">
        <v>0</v>
      </c>
      <c r="R68" t="s">
        <v>18</v>
      </c>
      <c r="S68">
        <v>4</v>
      </c>
      <c r="T68" t="e">
        <f>IF(#REF!&lt;=25, "Young Age", IF(#REF!&lt;=40, "Mid Age", "Old Age"))</f>
        <v>#REF!</v>
      </c>
      <c r="U68" t="str">
        <f t="shared" si="1"/>
        <v>Okay</v>
      </c>
    </row>
    <row r="69" spans="1:21" x14ac:dyDescent="0.35">
      <c r="A69" t="s">
        <v>276</v>
      </c>
      <c r="B69" s="13">
        <v>45234</v>
      </c>
      <c r="C69" t="s">
        <v>277</v>
      </c>
      <c r="D69" t="s">
        <v>13</v>
      </c>
      <c r="E69" t="s">
        <v>89</v>
      </c>
      <c r="F69" t="s">
        <v>90</v>
      </c>
      <c r="G69" t="s">
        <v>55</v>
      </c>
      <c r="H69" t="s">
        <v>56</v>
      </c>
      <c r="I69">
        <v>7</v>
      </c>
      <c r="J69" s="1">
        <v>2102.17</v>
      </c>
      <c r="K69">
        <v>0.13</v>
      </c>
      <c r="L69" s="1">
        <v>11565.64</v>
      </c>
      <c r="M69" s="1">
        <v>3358.13</v>
      </c>
      <c r="N69" s="1">
        <v>62.02</v>
      </c>
      <c r="O69" t="s">
        <v>36</v>
      </c>
      <c r="P69" t="s">
        <v>2149</v>
      </c>
      <c r="Q69" t="b">
        <v>0</v>
      </c>
      <c r="R69" t="s">
        <v>115</v>
      </c>
      <c r="S69">
        <v>8</v>
      </c>
      <c r="T69" t="e">
        <f>IF(#REF!&lt;=25, "Young Age", IF(#REF!&lt;=40, "Mid Age", "Old Age"))</f>
        <v>#REF!</v>
      </c>
      <c r="U69" t="str">
        <f t="shared" si="1"/>
        <v>Over Delayed</v>
      </c>
    </row>
    <row r="70" spans="1:21" x14ac:dyDescent="0.35">
      <c r="A70" t="s">
        <v>278</v>
      </c>
      <c r="B70" s="13">
        <v>43869</v>
      </c>
      <c r="C70" t="s">
        <v>279</v>
      </c>
      <c r="D70" t="s">
        <v>3</v>
      </c>
      <c r="E70" t="s">
        <v>14</v>
      </c>
      <c r="F70" t="s">
        <v>84</v>
      </c>
      <c r="G70" t="s">
        <v>23</v>
      </c>
      <c r="H70" t="s">
        <v>95</v>
      </c>
      <c r="I70">
        <v>9</v>
      </c>
      <c r="J70" s="1">
        <v>22687.65</v>
      </c>
      <c r="K70">
        <v>0.33</v>
      </c>
      <c r="L70" s="1">
        <v>117568.37</v>
      </c>
      <c r="M70" s="1">
        <v>33050.92</v>
      </c>
      <c r="N70" s="1">
        <v>45.04</v>
      </c>
      <c r="O70" t="s">
        <v>36</v>
      </c>
      <c r="P70" t="s">
        <v>2149</v>
      </c>
      <c r="Q70" t="b">
        <v>0</v>
      </c>
      <c r="R70" t="s">
        <v>18</v>
      </c>
      <c r="S70">
        <v>2</v>
      </c>
      <c r="T70" t="e">
        <f>IF(#REF!&lt;=25, "Young Age", IF(#REF!&lt;=40, "Mid Age", "Old Age"))</f>
        <v>#REF!</v>
      </c>
      <c r="U70" t="str">
        <f t="shared" si="1"/>
        <v>Okay</v>
      </c>
    </row>
    <row r="71" spans="1:21" x14ac:dyDescent="0.35">
      <c r="A71" t="s">
        <v>280</v>
      </c>
      <c r="B71" s="13">
        <v>44217</v>
      </c>
      <c r="C71" t="s">
        <v>281</v>
      </c>
      <c r="D71" t="s">
        <v>3</v>
      </c>
      <c r="E71" t="s">
        <v>53</v>
      </c>
      <c r="F71" t="s">
        <v>79</v>
      </c>
      <c r="G71" t="s">
        <v>105</v>
      </c>
      <c r="H71" t="s">
        <v>282</v>
      </c>
      <c r="I71">
        <v>10</v>
      </c>
      <c r="J71" s="1">
        <v>57148.46</v>
      </c>
      <c r="K71">
        <v>0.06</v>
      </c>
      <c r="L71" s="1">
        <v>443615.41</v>
      </c>
      <c r="M71" s="1">
        <v>48368.13</v>
      </c>
      <c r="N71" s="1">
        <v>33.07</v>
      </c>
      <c r="O71" t="s">
        <v>30</v>
      </c>
      <c r="P71">
        <v>1</v>
      </c>
      <c r="Q71" t="b">
        <v>1</v>
      </c>
      <c r="R71" t="s">
        <v>9</v>
      </c>
      <c r="S71" t="s">
        <v>2149</v>
      </c>
      <c r="T71" t="e">
        <f>IF(#REF!&lt;=25, "Young Age", IF(#REF!&lt;=40, "Mid Age", "Old Age"))</f>
        <v>#REF!</v>
      </c>
      <c r="U71" t="str">
        <f t="shared" si="1"/>
        <v>Over Delayed</v>
      </c>
    </row>
    <row r="72" spans="1:21" x14ac:dyDescent="0.35">
      <c r="A72" t="s">
        <v>283</v>
      </c>
      <c r="B72" s="13">
        <v>45072</v>
      </c>
      <c r="C72" t="s">
        <v>284</v>
      </c>
      <c r="D72" t="s">
        <v>13</v>
      </c>
      <c r="E72" t="s">
        <v>53</v>
      </c>
      <c r="F72" t="s">
        <v>170</v>
      </c>
      <c r="G72" t="s">
        <v>23</v>
      </c>
      <c r="H72" t="s">
        <v>164</v>
      </c>
      <c r="J72" s="1">
        <v>5493.74</v>
      </c>
      <c r="K72">
        <v>0.2</v>
      </c>
      <c r="L72" s="1">
        <v>6967.21</v>
      </c>
      <c r="M72" s="1">
        <v>1809.32</v>
      </c>
      <c r="N72" s="1">
        <v>49</v>
      </c>
      <c r="O72" t="s">
        <v>49</v>
      </c>
      <c r="P72">
        <v>1</v>
      </c>
      <c r="Q72" t="b">
        <v>0</v>
      </c>
      <c r="R72" t="s">
        <v>18</v>
      </c>
      <c r="S72">
        <v>5</v>
      </c>
      <c r="T72" t="e">
        <f>IF(#REF!&lt;=25, "Young Age", IF(#REF!&lt;=40, "Mid Age", "Old Age"))</f>
        <v>#REF!</v>
      </c>
      <c r="U72" t="str">
        <f t="shared" si="1"/>
        <v>Delayed</v>
      </c>
    </row>
    <row r="73" spans="1:21" x14ac:dyDescent="0.35">
      <c r="A73" t="s">
        <v>285</v>
      </c>
      <c r="B73" s="13">
        <v>45204</v>
      </c>
      <c r="C73" t="s">
        <v>286</v>
      </c>
      <c r="D73" t="s">
        <v>3</v>
      </c>
      <c r="E73" t="s">
        <v>4</v>
      </c>
      <c r="F73" t="s">
        <v>5</v>
      </c>
      <c r="G73" t="s">
        <v>23</v>
      </c>
      <c r="H73" t="s">
        <v>24</v>
      </c>
      <c r="I73">
        <v>2</v>
      </c>
      <c r="J73" s="1">
        <v>7616.64</v>
      </c>
      <c r="K73">
        <v>0.34</v>
      </c>
      <c r="L73" s="1">
        <v>11304.13</v>
      </c>
      <c r="M73" s="1">
        <v>3661.21</v>
      </c>
      <c r="N73" s="1">
        <v>29.23</v>
      </c>
      <c r="O73" t="s">
        <v>36</v>
      </c>
      <c r="P73">
        <v>4</v>
      </c>
      <c r="Q73" t="b">
        <v>0</v>
      </c>
      <c r="R73" t="s">
        <v>18</v>
      </c>
      <c r="S73">
        <v>1</v>
      </c>
      <c r="T73" t="e">
        <f>IF(#REF!&lt;=25, "Young Age", IF(#REF!&lt;=40, "Mid Age", "Old Age"))</f>
        <v>#REF!</v>
      </c>
      <c r="U73" t="str">
        <f t="shared" si="1"/>
        <v>Okay</v>
      </c>
    </row>
    <row r="74" spans="1:21" x14ac:dyDescent="0.35">
      <c r="A74" t="s">
        <v>287</v>
      </c>
      <c r="B74" s="13">
        <v>44739</v>
      </c>
      <c r="C74" t="s">
        <v>288</v>
      </c>
      <c r="D74" t="s">
        <v>3</v>
      </c>
      <c r="E74" t="s">
        <v>89</v>
      </c>
      <c r="F74" t="s">
        <v>99</v>
      </c>
      <c r="G74" t="s">
        <v>23</v>
      </c>
      <c r="H74" t="s">
        <v>199</v>
      </c>
      <c r="I74">
        <v>8</v>
      </c>
      <c r="J74" s="1">
        <v>3549.62</v>
      </c>
      <c r="K74">
        <v>0.22</v>
      </c>
      <c r="L74" s="1">
        <v>30702.91</v>
      </c>
      <c r="M74" s="1">
        <v>10062.41</v>
      </c>
      <c r="N74" s="1">
        <v>77.819999999999993</v>
      </c>
      <c r="O74" t="s">
        <v>30</v>
      </c>
      <c r="P74">
        <v>5</v>
      </c>
      <c r="Q74" t="b">
        <v>1</v>
      </c>
      <c r="R74" t="s">
        <v>9</v>
      </c>
      <c r="S74">
        <v>5</v>
      </c>
      <c r="T74" t="e">
        <f>IF(#REF!&lt;=25, "Young Age", IF(#REF!&lt;=40, "Mid Age", "Old Age"))</f>
        <v>#REF!</v>
      </c>
      <c r="U74" t="str">
        <f t="shared" si="1"/>
        <v>Delayed</v>
      </c>
    </row>
    <row r="75" spans="1:21" x14ac:dyDescent="0.35">
      <c r="A75" t="s">
        <v>289</v>
      </c>
      <c r="B75" s="13">
        <v>45167</v>
      </c>
      <c r="C75" t="s">
        <v>290</v>
      </c>
      <c r="D75" t="s">
        <v>3</v>
      </c>
      <c r="E75" t="s">
        <v>61</v>
      </c>
      <c r="F75" t="s">
        <v>222</v>
      </c>
      <c r="G75" t="s">
        <v>105</v>
      </c>
      <c r="H75" t="s">
        <v>120</v>
      </c>
      <c r="I75">
        <v>3</v>
      </c>
      <c r="J75" s="1">
        <v>15632.25</v>
      </c>
      <c r="K75">
        <v>0.34</v>
      </c>
      <c r="L75" s="1">
        <v>44298.79</v>
      </c>
      <c r="M75" s="1">
        <v>4132.26</v>
      </c>
      <c r="N75" s="1">
        <v>65.5</v>
      </c>
      <c r="O75" t="s">
        <v>57</v>
      </c>
      <c r="P75">
        <v>5</v>
      </c>
      <c r="Q75" t="b">
        <v>0</v>
      </c>
      <c r="R75" t="s">
        <v>18</v>
      </c>
      <c r="S75">
        <v>1</v>
      </c>
      <c r="T75" t="e">
        <f>IF(#REF!&lt;=25, "Young Age", IF(#REF!&lt;=40, "Mid Age", "Old Age"))</f>
        <v>#REF!</v>
      </c>
      <c r="U75" t="str">
        <f t="shared" si="1"/>
        <v>Okay</v>
      </c>
    </row>
    <row r="76" spans="1:21" x14ac:dyDescent="0.35">
      <c r="A76" t="s">
        <v>291</v>
      </c>
      <c r="B76" s="13">
        <v>44808</v>
      </c>
      <c r="C76" t="s">
        <v>292</v>
      </c>
      <c r="D76" t="s">
        <v>47</v>
      </c>
      <c r="E76" t="s">
        <v>61</v>
      </c>
      <c r="F76" t="s">
        <v>104</v>
      </c>
      <c r="G76" t="s">
        <v>105</v>
      </c>
      <c r="H76" t="s">
        <v>120</v>
      </c>
      <c r="I76">
        <v>4</v>
      </c>
      <c r="J76" s="1">
        <v>41499.339999999997</v>
      </c>
      <c r="K76">
        <v>0</v>
      </c>
      <c r="L76" s="1">
        <v>175476.12</v>
      </c>
      <c r="M76" s="1">
        <v>19809.16</v>
      </c>
      <c r="N76" s="1">
        <v>73.44</v>
      </c>
      <c r="O76" t="s">
        <v>8</v>
      </c>
      <c r="P76">
        <v>4</v>
      </c>
      <c r="Q76" t="b">
        <v>0</v>
      </c>
      <c r="R76" t="s">
        <v>115</v>
      </c>
      <c r="S76">
        <v>1</v>
      </c>
      <c r="T76" t="e">
        <f>IF(#REF!&lt;=25, "Young Age", IF(#REF!&lt;=40, "Mid Age", "Old Age"))</f>
        <v>#REF!</v>
      </c>
      <c r="U76" t="str">
        <f t="shared" si="1"/>
        <v>Okay</v>
      </c>
    </row>
    <row r="77" spans="1:21" x14ac:dyDescent="0.35">
      <c r="A77" t="s">
        <v>293</v>
      </c>
      <c r="B77" s="13">
        <v>44408</v>
      </c>
      <c r="C77" t="s">
        <v>294</v>
      </c>
      <c r="D77" t="s">
        <v>3</v>
      </c>
      <c r="E77" t="s">
        <v>61</v>
      </c>
      <c r="F77" t="s">
        <v>222</v>
      </c>
      <c r="G77" t="s">
        <v>55</v>
      </c>
      <c r="H77" t="s">
        <v>67</v>
      </c>
      <c r="J77" s="1">
        <v>3288.5</v>
      </c>
      <c r="K77">
        <v>0.01</v>
      </c>
      <c r="L77" s="1">
        <v>4673.0200000000004</v>
      </c>
      <c r="M77" s="1">
        <v>1513.25</v>
      </c>
      <c r="N77" s="1">
        <v>103.27</v>
      </c>
      <c r="O77" t="s">
        <v>43</v>
      </c>
      <c r="P77" t="s">
        <v>2149</v>
      </c>
      <c r="Q77" t="b">
        <v>0</v>
      </c>
      <c r="R77" t="s">
        <v>18</v>
      </c>
      <c r="S77">
        <v>4</v>
      </c>
      <c r="T77" t="e">
        <f>IF(#REF!&lt;=25, "Young Age", IF(#REF!&lt;=40, "Mid Age", "Old Age"))</f>
        <v>#REF!</v>
      </c>
      <c r="U77" t="str">
        <f t="shared" si="1"/>
        <v>Okay</v>
      </c>
    </row>
    <row r="78" spans="1:21" x14ac:dyDescent="0.35">
      <c r="A78" t="s">
        <v>295</v>
      </c>
      <c r="B78" s="13">
        <v>45247</v>
      </c>
      <c r="C78" t="s">
        <v>296</v>
      </c>
      <c r="D78" t="s">
        <v>3</v>
      </c>
      <c r="E78" t="s">
        <v>53</v>
      </c>
      <c r="F78" t="s">
        <v>54</v>
      </c>
      <c r="G78" t="s">
        <v>124</v>
      </c>
      <c r="H78" t="s">
        <v>139</v>
      </c>
      <c r="I78">
        <v>4</v>
      </c>
      <c r="J78" s="1">
        <v>3010.43</v>
      </c>
      <c r="K78">
        <v>0.27</v>
      </c>
      <c r="L78" s="1">
        <v>8396.7900000000009</v>
      </c>
      <c r="M78" s="1">
        <v>1584.03</v>
      </c>
      <c r="N78" s="1">
        <v>51.24</v>
      </c>
      <c r="O78" t="s">
        <v>43</v>
      </c>
      <c r="P78">
        <v>3</v>
      </c>
      <c r="Q78" t="b">
        <v>0</v>
      </c>
      <c r="R78" t="s">
        <v>18</v>
      </c>
      <c r="S78" t="s">
        <v>2149</v>
      </c>
      <c r="T78" t="e">
        <f>IF(#REF!&lt;=25, "Young Age", IF(#REF!&lt;=40, "Mid Age", "Old Age"))</f>
        <v>#REF!</v>
      </c>
      <c r="U78" t="str">
        <f t="shared" si="1"/>
        <v>Over Delayed</v>
      </c>
    </row>
    <row r="79" spans="1:21" x14ac:dyDescent="0.35">
      <c r="A79" t="s">
        <v>297</v>
      </c>
      <c r="B79" s="13">
        <v>43833</v>
      </c>
      <c r="C79" t="s">
        <v>298</v>
      </c>
      <c r="D79" t="s">
        <v>47</v>
      </c>
      <c r="E79" t="s">
        <v>89</v>
      </c>
      <c r="F79" t="s">
        <v>299</v>
      </c>
      <c r="G79" t="s">
        <v>23</v>
      </c>
      <c r="H79" t="s">
        <v>24</v>
      </c>
      <c r="I79">
        <v>8</v>
      </c>
      <c r="J79" s="1">
        <v>22523.15</v>
      </c>
      <c r="K79">
        <v>0.34</v>
      </c>
      <c r="L79" s="1">
        <v>95036.79</v>
      </c>
      <c r="M79" s="1">
        <v>29818.97</v>
      </c>
      <c r="N79" s="1">
        <v>65.72</v>
      </c>
      <c r="O79" t="s">
        <v>30</v>
      </c>
      <c r="P79">
        <v>2</v>
      </c>
      <c r="Q79" t="b">
        <v>0</v>
      </c>
      <c r="R79" t="s">
        <v>18</v>
      </c>
      <c r="S79">
        <v>5</v>
      </c>
      <c r="T79" t="e">
        <f>IF(#REF!&lt;=25, "Young Age", IF(#REF!&lt;=40, "Mid Age", "Old Age"))</f>
        <v>#REF!</v>
      </c>
      <c r="U79" t="str">
        <f t="shared" si="1"/>
        <v>Delayed</v>
      </c>
    </row>
    <row r="80" spans="1:21" x14ac:dyDescent="0.35">
      <c r="A80" t="s">
        <v>300</v>
      </c>
      <c r="B80" s="13">
        <v>43852</v>
      </c>
      <c r="C80" t="s">
        <v>301</v>
      </c>
      <c r="D80" t="s">
        <v>3</v>
      </c>
      <c r="E80" t="s">
        <v>89</v>
      </c>
      <c r="F80" t="s">
        <v>99</v>
      </c>
      <c r="G80" t="s">
        <v>41</v>
      </c>
      <c r="H80" t="s">
        <v>261</v>
      </c>
      <c r="I80">
        <v>4</v>
      </c>
      <c r="J80" s="1">
        <v>363.32</v>
      </c>
      <c r="K80">
        <v>7.0000000000000007E-2</v>
      </c>
      <c r="L80" s="1">
        <v>1026.5</v>
      </c>
      <c r="M80" s="1">
        <v>410.28</v>
      </c>
      <c r="N80" s="1">
        <v>89.93</v>
      </c>
      <c r="O80" t="s">
        <v>30</v>
      </c>
      <c r="P80">
        <v>5</v>
      </c>
      <c r="Q80" t="b">
        <v>0</v>
      </c>
      <c r="R80" t="s">
        <v>115</v>
      </c>
      <c r="S80">
        <v>5</v>
      </c>
      <c r="T80" t="e">
        <f>IF(#REF!&lt;=25, "Young Age", IF(#REF!&lt;=40, "Mid Age", "Old Age"))</f>
        <v>#REF!</v>
      </c>
      <c r="U80" t="str">
        <f t="shared" si="1"/>
        <v>Delayed</v>
      </c>
    </row>
    <row r="81" spans="1:21" x14ac:dyDescent="0.35">
      <c r="A81" t="s">
        <v>302</v>
      </c>
      <c r="B81" s="13">
        <v>45079</v>
      </c>
      <c r="C81" t="s">
        <v>303</v>
      </c>
      <c r="D81" t="s">
        <v>47</v>
      </c>
      <c r="E81" t="s">
        <v>14</v>
      </c>
      <c r="F81" t="s">
        <v>22</v>
      </c>
      <c r="G81" t="s">
        <v>23</v>
      </c>
      <c r="H81" t="s">
        <v>71</v>
      </c>
      <c r="I81">
        <v>3</v>
      </c>
      <c r="J81" s="1">
        <v>31229.73</v>
      </c>
      <c r="K81">
        <v>0.32</v>
      </c>
      <c r="L81" s="1">
        <v>100210.97</v>
      </c>
      <c r="M81" s="1">
        <v>34252.99</v>
      </c>
      <c r="N81" s="1">
        <v>53.79</v>
      </c>
      <c r="O81" t="s">
        <v>30</v>
      </c>
      <c r="P81">
        <v>5</v>
      </c>
      <c r="Q81" t="b">
        <v>0</v>
      </c>
      <c r="R81" t="s">
        <v>37</v>
      </c>
      <c r="S81">
        <v>3</v>
      </c>
      <c r="T81" t="e">
        <f>IF(#REF!&lt;=25, "Young Age", IF(#REF!&lt;=40, "Mid Age", "Old Age"))</f>
        <v>#REF!</v>
      </c>
      <c r="U81" t="str">
        <f t="shared" si="1"/>
        <v>Okay</v>
      </c>
    </row>
    <row r="82" spans="1:21" x14ac:dyDescent="0.35">
      <c r="A82" t="s">
        <v>304</v>
      </c>
      <c r="B82" s="13">
        <v>44794</v>
      </c>
      <c r="C82" t="s">
        <v>305</v>
      </c>
      <c r="D82" t="s">
        <v>47</v>
      </c>
      <c r="E82" t="s">
        <v>89</v>
      </c>
      <c r="F82" t="s">
        <v>119</v>
      </c>
      <c r="G82" t="s">
        <v>23</v>
      </c>
      <c r="H82" t="s">
        <v>95</v>
      </c>
      <c r="I82">
        <v>3</v>
      </c>
      <c r="J82" s="1">
        <v>25395.64</v>
      </c>
      <c r="K82">
        <v>0.3</v>
      </c>
      <c r="L82" s="1">
        <v>82667.820000000007</v>
      </c>
      <c r="M82" s="1">
        <v>28762.52</v>
      </c>
      <c r="N82" s="1">
        <v>86.28</v>
      </c>
      <c r="O82" t="s">
        <v>57</v>
      </c>
      <c r="P82">
        <v>4</v>
      </c>
      <c r="Q82" t="b">
        <v>0</v>
      </c>
      <c r="R82" t="s">
        <v>18</v>
      </c>
      <c r="S82">
        <v>5</v>
      </c>
      <c r="T82" t="e">
        <f>IF(#REF!&lt;=25, "Young Age", IF(#REF!&lt;=40, "Mid Age", "Old Age"))</f>
        <v>#REF!</v>
      </c>
      <c r="U82" t="str">
        <f t="shared" si="1"/>
        <v>Delayed</v>
      </c>
    </row>
    <row r="83" spans="1:21" x14ac:dyDescent="0.35">
      <c r="A83" t="s">
        <v>306</v>
      </c>
      <c r="B83" s="13">
        <v>44308</v>
      </c>
      <c r="C83" t="s">
        <v>307</v>
      </c>
      <c r="D83" t="s">
        <v>13</v>
      </c>
      <c r="E83" t="s">
        <v>53</v>
      </c>
      <c r="F83" t="s">
        <v>170</v>
      </c>
      <c r="G83" t="s">
        <v>6</v>
      </c>
      <c r="H83" t="s">
        <v>75</v>
      </c>
      <c r="I83">
        <v>3</v>
      </c>
      <c r="J83" s="1">
        <v>457.68</v>
      </c>
      <c r="K83">
        <v>0.26</v>
      </c>
      <c r="L83" s="1">
        <v>1159.07</v>
      </c>
      <c r="M83" s="1">
        <v>84.35</v>
      </c>
      <c r="N83" s="1">
        <v>72.86</v>
      </c>
      <c r="O83" t="s">
        <v>43</v>
      </c>
      <c r="P83">
        <v>3</v>
      </c>
      <c r="Q83" t="b">
        <v>0</v>
      </c>
      <c r="R83" t="s">
        <v>175</v>
      </c>
      <c r="S83">
        <v>2</v>
      </c>
      <c r="T83" t="e">
        <f>IF(#REF!&lt;=25, "Young Age", IF(#REF!&lt;=40, "Mid Age", "Old Age"))</f>
        <v>#REF!</v>
      </c>
      <c r="U83" t="str">
        <f t="shared" si="1"/>
        <v>Okay</v>
      </c>
    </row>
    <row r="84" spans="1:21" x14ac:dyDescent="0.35">
      <c r="A84" t="s">
        <v>308</v>
      </c>
      <c r="B84" s="13">
        <v>45084</v>
      </c>
      <c r="C84" t="s">
        <v>309</v>
      </c>
      <c r="D84" t="s">
        <v>47</v>
      </c>
      <c r="E84" t="s">
        <v>89</v>
      </c>
      <c r="F84" t="s">
        <v>119</v>
      </c>
      <c r="G84" t="s">
        <v>41</v>
      </c>
      <c r="H84" t="s">
        <v>42</v>
      </c>
      <c r="I84">
        <v>1</v>
      </c>
      <c r="J84" s="1">
        <v>715.84</v>
      </c>
      <c r="K84">
        <v>0.24</v>
      </c>
      <c r="L84" s="1">
        <v>937.54</v>
      </c>
      <c r="M84" s="1">
        <v>470.99</v>
      </c>
      <c r="N84" s="1">
        <v>59.5</v>
      </c>
      <c r="O84" t="s">
        <v>49</v>
      </c>
      <c r="P84">
        <v>2</v>
      </c>
      <c r="Q84" t="b">
        <v>0</v>
      </c>
      <c r="R84" t="s">
        <v>18</v>
      </c>
      <c r="S84">
        <v>4</v>
      </c>
      <c r="T84" t="e">
        <f>IF(#REF!&lt;=25, "Young Age", IF(#REF!&lt;=40, "Mid Age", "Old Age"))</f>
        <v>#REF!</v>
      </c>
      <c r="U84" t="str">
        <f t="shared" si="1"/>
        <v>Okay</v>
      </c>
    </row>
    <row r="85" spans="1:21" x14ac:dyDescent="0.35">
      <c r="A85" t="s">
        <v>310</v>
      </c>
      <c r="B85" s="13">
        <v>45588</v>
      </c>
      <c r="C85" t="s">
        <v>311</v>
      </c>
      <c r="D85" t="s">
        <v>47</v>
      </c>
      <c r="E85" t="s">
        <v>61</v>
      </c>
      <c r="F85" t="s">
        <v>104</v>
      </c>
      <c r="G85" t="s">
        <v>124</v>
      </c>
      <c r="H85" t="s">
        <v>139</v>
      </c>
      <c r="I85">
        <v>4</v>
      </c>
      <c r="J85" s="1">
        <v>9803</v>
      </c>
      <c r="K85">
        <v>0.33</v>
      </c>
      <c r="L85" s="1">
        <v>32120.84</v>
      </c>
      <c r="M85" s="1">
        <v>6215.4</v>
      </c>
      <c r="N85" s="1">
        <v>88.57</v>
      </c>
      <c r="O85" t="s">
        <v>57</v>
      </c>
      <c r="P85">
        <v>4</v>
      </c>
      <c r="Q85" t="b">
        <v>0</v>
      </c>
      <c r="R85" t="s">
        <v>63</v>
      </c>
      <c r="S85">
        <v>6</v>
      </c>
      <c r="T85" t="e">
        <f>IF(#REF!&lt;=25, "Young Age", IF(#REF!&lt;=40, "Mid Age", "Old Age"))</f>
        <v>#REF!</v>
      </c>
      <c r="U85" t="str">
        <f t="shared" si="1"/>
        <v>Delayed</v>
      </c>
    </row>
    <row r="86" spans="1:21" x14ac:dyDescent="0.35">
      <c r="A86" t="s">
        <v>312</v>
      </c>
      <c r="B86" s="13">
        <v>44003</v>
      </c>
      <c r="C86" t="s">
        <v>313</v>
      </c>
      <c r="D86" t="s">
        <v>3</v>
      </c>
      <c r="E86" t="s">
        <v>89</v>
      </c>
      <c r="F86" t="s">
        <v>119</v>
      </c>
      <c r="G86" t="s">
        <v>105</v>
      </c>
      <c r="H86" t="s">
        <v>120</v>
      </c>
      <c r="I86">
        <v>5</v>
      </c>
      <c r="J86" s="1">
        <v>28892.57</v>
      </c>
      <c r="K86">
        <v>7.0000000000000007E-2</v>
      </c>
      <c r="L86" s="1">
        <v>205453.46</v>
      </c>
      <c r="M86" s="1">
        <v>25286.68</v>
      </c>
      <c r="N86" s="1">
        <v>84.72</v>
      </c>
      <c r="O86" t="s">
        <v>8</v>
      </c>
      <c r="P86">
        <v>5</v>
      </c>
      <c r="Q86" t="b">
        <v>0</v>
      </c>
      <c r="R86" t="s">
        <v>18</v>
      </c>
      <c r="S86">
        <v>6</v>
      </c>
      <c r="T86" t="e">
        <f>IF(#REF!&lt;=25, "Young Age", IF(#REF!&lt;=40, "Mid Age", "Old Age"))</f>
        <v>#REF!</v>
      </c>
      <c r="U86" t="str">
        <f t="shared" si="1"/>
        <v>Delayed</v>
      </c>
    </row>
    <row r="87" spans="1:21" x14ac:dyDescent="0.35">
      <c r="A87" t="s">
        <v>314</v>
      </c>
      <c r="B87" s="13">
        <v>44606</v>
      </c>
      <c r="C87" t="s">
        <v>315</v>
      </c>
      <c r="D87" t="s">
        <v>13</v>
      </c>
      <c r="E87" t="s">
        <v>53</v>
      </c>
      <c r="F87" t="s">
        <v>79</v>
      </c>
      <c r="G87" t="s">
        <v>23</v>
      </c>
      <c r="H87" t="s">
        <v>71</v>
      </c>
      <c r="I87">
        <v>9</v>
      </c>
      <c r="J87" s="1">
        <v>14001.85</v>
      </c>
      <c r="K87">
        <v>0.05</v>
      </c>
      <c r="L87" s="1">
        <v>118164.26</v>
      </c>
      <c r="M87" s="1">
        <v>40660.47</v>
      </c>
      <c r="N87" s="1">
        <v>55.44</v>
      </c>
      <c r="O87" t="s">
        <v>57</v>
      </c>
      <c r="P87">
        <v>1</v>
      </c>
      <c r="Q87" t="b">
        <v>1</v>
      </c>
      <c r="R87" t="s">
        <v>9</v>
      </c>
      <c r="S87">
        <v>1</v>
      </c>
      <c r="T87" t="e">
        <f>IF(#REF!&lt;=25, "Young Age", IF(#REF!&lt;=40, "Mid Age", "Old Age"))</f>
        <v>#REF!</v>
      </c>
      <c r="U87" t="str">
        <f t="shared" si="1"/>
        <v>Okay</v>
      </c>
    </row>
    <row r="88" spans="1:21" x14ac:dyDescent="0.35">
      <c r="A88" t="s">
        <v>316</v>
      </c>
      <c r="B88" s="13">
        <v>44096</v>
      </c>
      <c r="C88" t="s">
        <v>317</v>
      </c>
      <c r="D88" t="s">
        <v>3</v>
      </c>
      <c r="E88" t="s">
        <v>4</v>
      </c>
      <c r="F88" t="s">
        <v>48</v>
      </c>
      <c r="G88" t="s">
        <v>23</v>
      </c>
      <c r="H88" t="s">
        <v>71</v>
      </c>
      <c r="I88">
        <v>8</v>
      </c>
      <c r="J88" s="1">
        <v>30292.85</v>
      </c>
      <c r="K88">
        <v>0.28999999999999998</v>
      </c>
      <c r="L88" s="1">
        <v>173004.24</v>
      </c>
      <c r="M88" s="1">
        <v>45465.04</v>
      </c>
      <c r="N88" s="1">
        <v>51.64</v>
      </c>
      <c r="O88" t="s">
        <v>30</v>
      </c>
      <c r="P88" t="s">
        <v>2149</v>
      </c>
      <c r="Q88" t="b">
        <v>0</v>
      </c>
      <c r="R88" t="s">
        <v>18</v>
      </c>
      <c r="S88">
        <v>5</v>
      </c>
      <c r="T88" t="e">
        <f>IF(#REF!&lt;=25, "Young Age", IF(#REF!&lt;=40, "Mid Age", "Old Age"))</f>
        <v>#REF!</v>
      </c>
      <c r="U88" t="str">
        <f t="shared" si="1"/>
        <v>Delayed</v>
      </c>
    </row>
    <row r="89" spans="1:21" x14ac:dyDescent="0.35">
      <c r="A89" t="s">
        <v>318</v>
      </c>
      <c r="B89" s="13">
        <v>45568</v>
      </c>
      <c r="C89" t="s">
        <v>319</v>
      </c>
      <c r="D89" t="s">
        <v>13</v>
      </c>
      <c r="E89" t="s">
        <v>61</v>
      </c>
      <c r="F89" t="s">
        <v>271</v>
      </c>
      <c r="G89" t="s">
        <v>124</v>
      </c>
      <c r="H89" t="s">
        <v>195</v>
      </c>
      <c r="I89">
        <v>2</v>
      </c>
      <c r="J89" s="1">
        <v>2854.89</v>
      </c>
      <c r="K89">
        <v>0.06</v>
      </c>
      <c r="L89" s="1">
        <v>6360.16</v>
      </c>
      <c r="M89" s="1">
        <v>1203.75</v>
      </c>
      <c r="N89" s="1">
        <v>86.84</v>
      </c>
      <c r="O89" t="s">
        <v>57</v>
      </c>
      <c r="P89">
        <v>3</v>
      </c>
      <c r="Q89" t="b">
        <v>0</v>
      </c>
      <c r="R89" t="s">
        <v>18</v>
      </c>
      <c r="S89">
        <v>9</v>
      </c>
      <c r="T89" t="e">
        <f>IF(#REF!&lt;=25, "Young Age", IF(#REF!&lt;=40, "Mid Age", "Old Age"))</f>
        <v>#REF!</v>
      </c>
      <c r="U89" t="str">
        <f t="shared" si="1"/>
        <v>Over Delayed</v>
      </c>
    </row>
    <row r="90" spans="1:21" x14ac:dyDescent="0.35">
      <c r="A90" t="s">
        <v>320</v>
      </c>
      <c r="B90" s="13">
        <v>45111</v>
      </c>
      <c r="C90" t="s">
        <v>321</v>
      </c>
      <c r="D90" t="s">
        <v>3</v>
      </c>
      <c r="E90" t="s">
        <v>89</v>
      </c>
      <c r="F90" t="s">
        <v>119</v>
      </c>
      <c r="G90" t="s">
        <v>55</v>
      </c>
      <c r="H90" t="s">
        <v>91</v>
      </c>
      <c r="I90">
        <v>9</v>
      </c>
      <c r="J90" s="1">
        <v>1340.2</v>
      </c>
      <c r="K90">
        <v>0.38</v>
      </c>
      <c r="L90" s="1">
        <v>12757.93</v>
      </c>
      <c r="M90" s="1">
        <v>3852.39</v>
      </c>
      <c r="N90" s="1">
        <v>105.03</v>
      </c>
      <c r="O90" t="s">
        <v>43</v>
      </c>
      <c r="P90">
        <v>3</v>
      </c>
      <c r="Q90" t="b">
        <v>0</v>
      </c>
      <c r="R90" t="s">
        <v>63</v>
      </c>
      <c r="S90">
        <v>4</v>
      </c>
      <c r="T90" t="e">
        <f>IF(#REF!&lt;=25, "Young Age", IF(#REF!&lt;=40, "Mid Age", "Old Age"))</f>
        <v>#REF!</v>
      </c>
      <c r="U90" t="str">
        <f t="shared" si="1"/>
        <v>Okay</v>
      </c>
    </row>
    <row r="91" spans="1:21" x14ac:dyDescent="0.35">
      <c r="A91" t="s">
        <v>322</v>
      </c>
      <c r="B91" s="13">
        <v>44115</v>
      </c>
      <c r="C91" t="s">
        <v>323</v>
      </c>
      <c r="D91" t="s">
        <v>47</v>
      </c>
      <c r="E91" t="s">
        <v>14</v>
      </c>
      <c r="F91" t="s">
        <v>22</v>
      </c>
      <c r="G91" t="s">
        <v>23</v>
      </c>
      <c r="H91" t="s">
        <v>164</v>
      </c>
      <c r="I91">
        <v>7</v>
      </c>
      <c r="J91" s="1">
        <v>34455.919999999998</v>
      </c>
      <c r="K91">
        <v>0.28000000000000003</v>
      </c>
      <c r="L91" s="1">
        <v>149044.85999999999</v>
      </c>
      <c r="M91" s="1">
        <v>39164.43</v>
      </c>
      <c r="N91" s="1">
        <v>54.2</v>
      </c>
      <c r="O91" t="s">
        <v>8</v>
      </c>
      <c r="P91">
        <v>3</v>
      </c>
      <c r="Q91" t="b">
        <v>0</v>
      </c>
      <c r="R91" t="s">
        <v>18</v>
      </c>
      <c r="S91">
        <v>7</v>
      </c>
      <c r="T91" t="e">
        <f>IF(#REF!&lt;=25, "Young Age", IF(#REF!&lt;=40, "Mid Age", "Old Age"))</f>
        <v>#REF!</v>
      </c>
      <c r="U91" t="str">
        <f t="shared" si="1"/>
        <v>Delayed</v>
      </c>
    </row>
    <row r="92" spans="1:21" x14ac:dyDescent="0.35">
      <c r="A92" t="s">
        <v>324</v>
      </c>
      <c r="B92" s="13">
        <v>45163</v>
      </c>
      <c r="C92" t="s">
        <v>325</v>
      </c>
      <c r="D92" t="s">
        <v>47</v>
      </c>
      <c r="E92" t="s">
        <v>61</v>
      </c>
      <c r="F92" t="s">
        <v>222</v>
      </c>
      <c r="G92" t="s">
        <v>41</v>
      </c>
      <c r="H92" t="s">
        <v>42</v>
      </c>
      <c r="I92">
        <v>10</v>
      </c>
      <c r="J92" s="1">
        <v>755.47</v>
      </c>
      <c r="K92">
        <v>0.04</v>
      </c>
      <c r="L92" s="1">
        <v>10570.33</v>
      </c>
      <c r="M92" s="1">
        <v>4011.83</v>
      </c>
      <c r="N92" s="1">
        <v>94.06</v>
      </c>
      <c r="O92" t="s">
        <v>49</v>
      </c>
      <c r="P92" t="s">
        <v>2149</v>
      </c>
      <c r="Q92" t="b">
        <v>0</v>
      </c>
      <c r="R92" t="s">
        <v>63</v>
      </c>
      <c r="S92">
        <v>5</v>
      </c>
      <c r="T92" t="e">
        <f>IF(#REF!&lt;=25, "Young Age", IF(#REF!&lt;=40, "Mid Age", "Old Age"))</f>
        <v>#REF!</v>
      </c>
      <c r="U92" t="str">
        <f t="shared" si="1"/>
        <v>Delayed</v>
      </c>
    </row>
    <row r="93" spans="1:21" x14ac:dyDescent="0.35">
      <c r="A93" t="s">
        <v>326</v>
      </c>
      <c r="B93" s="13">
        <v>44589</v>
      </c>
      <c r="C93" t="s">
        <v>327</v>
      </c>
      <c r="D93" t="s">
        <v>13</v>
      </c>
      <c r="E93" t="s">
        <v>53</v>
      </c>
      <c r="F93" t="s">
        <v>54</v>
      </c>
      <c r="G93" t="s">
        <v>124</v>
      </c>
      <c r="H93" t="s">
        <v>195</v>
      </c>
      <c r="I93">
        <v>10</v>
      </c>
      <c r="J93" s="1">
        <v>6054.48</v>
      </c>
      <c r="K93">
        <v>0.06</v>
      </c>
      <c r="L93" s="1">
        <v>48184.42</v>
      </c>
      <c r="M93" s="1">
        <v>9832.73</v>
      </c>
      <c r="N93" s="1">
        <v>59.24</v>
      </c>
      <c r="O93" t="s">
        <v>49</v>
      </c>
      <c r="P93">
        <v>1</v>
      </c>
      <c r="Q93" t="b">
        <v>1</v>
      </c>
      <c r="R93" t="s">
        <v>9</v>
      </c>
      <c r="S93">
        <v>6</v>
      </c>
      <c r="T93" t="e">
        <f>IF(#REF!&lt;=25, "Young Age", IF(#REF!&lt;=40, "Mid Age", "Old Age"))</f>
        <v>#REF!</v>
      </c>
      <c r="U93" t="str">
        <f t="shared" si="1"/>
        <v>Delayed</v>
      </c>
    </row>
    <row r="94" spans="1:21" x14ac:dyDescent="0.35">
      <c r="A94" t="s">
        <v>328</v>
      </c>
      <c r="B94" s="13">
        <v>44440</v>
      </c>
      <c r="C94" t="s">
        <v>329</v>
      </c>
      <c r="D94" t="s">
        <v>13</v>
      </c>
      <c r="E94" t="s">
        <v>89</v>
      </c>
      <c r="F94" t="s">
        <v>299</v>
      </c>
      <c r="G94" t="s">
        <v>23</v>
      </c>
      <c r="H94" t="s">
        <v>199</v>
      </c>
      <c r="I94">
        <v>10</v>
      </c>
      <c r="J94" s="1">
        <v>8753.1200000000008</v>
      </c>
      <c r="K94">
        <v>0.28000000000000003</v>
      </c>
      <c r="L94" s="1">
        <v>73335.009999999995</v>
      </c>
      <c r="M94" s="1">
        <v>17930.25</v>
      </c>
      <c r="N94" s="1">
        <v>87.75</v>
      </c>
      <c r="O94" t="s">
        <v>30</v>
      </c>
      <c r="P94">
        <v>5</v>
      </c>
      <c r="Q94" t="b">
        <v>0</v>
      </c>
      <c r="R94" t="s">
        <v>18</v>
      </c>
      <c r="S94">
        <v>8</v>
      </c>
      <c r="T94" t="e">
        <f>IF(#REF!&lt;=25, "Young Age", IF(#REF!&lt;=40, "Mid Age", "Old Age"))</f>
        <v>#REF!</v>
      </c>
      <c r="U94" t="str">
        <f t="shared" si="1"/>
        <v>Over Delayed</v>
      </c>
    </row>
    <row r="95" spans="1:21" x14ac:dyDescent="0.35">
      <c r="A95" t="s">
        <v>330</v>
      </c>
      <c r="B95" s="13">
        <v>44866</v>
      </c>
      <c r="C95" t="s">
        <v>331</v>
      </c>
      <c r="D95" t="s">
        <v>13</v>
      </c>
      <c r="E95" t="s">
        <v>4</v>
      </c>
      <c r="F95" t="s">
        <v>148</v>
      </c>
      <c r="G95" t="s">
        <v>41</v>
      </c>
      <c r="H95" t="s">
        <v>261</v>
      </c>
      <c r="I95">
        <v>4</v>
      </c>
      <c r="J95" s="1">
        <v>1320.32</v>
      </c>
      <c r="K95">
        <v>0.01</v>
      </c>
      <c r="L95" s="1">
        <v>4535.42</v>
      </c>
      <c r="M95" s="1">
        <v>950.65</v>
      </c>
      <c r="N95" s="1">
        <v>39.090000000000003</v>
      </c>
      <c r="O95" t="s">
        <v>8</v>
      </c>
      <c r="P95">
        <v>3</v>
      </c>
      <c r="Q95" t="b">
        <v>0</v>
      </c>
      <c r="R95" t="s">
        <v>18</v>
      </c>
      <c r="S95">
        <v>5</v>
      </c>
      <c r="T95" t="e">
        <f>IF(#REF!&lt;=25, "Young Age", IF(#REF!&lt;=40, "Mid Age", "Old Age"))</f>
        <v>#REF!</v>
      </c>
      <c r="U95" t="str">
        <f t="shared" si="1"/>
        <v>Delayed</v>
      </c>
    </row>
    <row r="96" spans="1:21" x14ac:dyDescent="0.35">
      <c r="A96" t="s">
        <v>332</v>
      </c>
      <c r="B96" s="13">
        <v>44165</v>
      </c>
      <c r="C96" t="s">
        <v>333</v>
      </c>
      <c r="D96" t="s">
        <v>47</v>
      </c>
      <c r="E96" t="s">
        <v>14</v>
      </c>
      <c r="F96" t="s">
        <v>22</v>
      </c>
      <c r="G96" t="s">
        <v>41</v>
      </c>
      <c r="H96" t="s">
        <v>85</v>
      </c>
      <c r="I96">
        <v>8</v>
      </c>
      <c r="J96" s="1">
        <v>707.31</v>
      </c>
      <c r="K96">
        <v>0.15</v>
      </c>
      <c r="L96" s="1">
        <v>3730.16</v>
      </c>
      <c r="M96" s="1">
        <v>1635.73</v>
      </c>
      <c r="N96" s="1">
        <v>65.92</v>
      </c>
      <c r="O96" t="s">
        <v>36</v>
      </c>
      <c r="P96">
        <v>4</v>
      </c>
      <c r="Q96" t="b">
        <v>0</v>
      </c>
      <c r="R96" t="s">
        <v>18</v>
      </c>
      <c r="S96">
        <v>9</v>
      </c>
      <c r="T96" t="e">
        <f>IF(#REF!&lt;=25, "Young Age", IF(#REF!&lt;=40, "Mid Age", "Old Age"))</f>
        <v>#REF!</v>
      </c>
      <c r="U96" t="str">
        <f t="shared" si="1"/>
        <v>Over Delayed</v>
      </c>
    </row>
    <row r="97" spans="1:21" x14ac:dyDescent="0.35">
      <c r="A97" t="s">
        <v>334</v>
      </c>
      <c r="B97" s="13">
        <v>45434</v>
      </c>
      <c r="C97" t="s">
        <v>335</v>
      </c>
      <c r="D97" t="s">
        <v>13</v>
      </c>
      <c r="E97" t="s">
        <v>53</v>
      </c>
      <c r="F97" t="s">
        <v>114</v>
      </c>
      <c r="G97" t="s">
        <v>6</v>
      </c>
      <c r="H97" t="s">
        <v>75</v>
      </c>
      <c r="I97">
        <v>5</v>
      </c>
      <c r="J97" s="1">
        <v>309.97000000000003</v>
      </c>
      <c r="K97">
        <v>0.04</v>
      </c>
      <c r="L97" s="1">
        <v>2672.61</v>
      </c>
      <c r="M97" s="1">
        <v>214.05</v>
      </c>
      <c r="N97" s="1">
        <v>37.340000000000003</v>
      </c>
      <c r="O97" t="s">
        <v>43</v>
      </c>
      <c r="P97">
        <v>5</v>
      </c>
      <c r="Q97" t="b">
        <v>0</v>
      </c>
      <c r="R97" t="s">
        <v>115</v>
      </c>
      <c r="S97">
        <v>4</v>
      </c>
      <c r="T97" t="e">
        <f>IF(#REF!&lt;=25, "Young Age", IF(#REF!&lt;=40, "Mid Age", "Old Age"))</f>
        <v>#REF!</v>
      </c>
      <c r="U97" t="str">
        <f t="shared" si="1"/>
        <v>Okay</v>
      </c>
    </row>
    <row r="98" spans="1:21" x14ac:dyDescent="0.35">
      <c r="A98" t="s">
        <v>336</v>
      </c>
      <c r="B98" s="13">
        <v>44457</v>
      </c>
      <c r="C98" t="s">
        <v>337</v>
      </c>
      <c r="D98" t="s">
        <v>3</v>
      </c>
      <c r="E98" t="s">
        <v>61</v>
      </c>
      <c r="F98" t="s">
        <v>271</v>
      </c>
      <c r="G98" t="s">
        <v>124</v>
      </c>
      <c r="H98" t="s">
        <v>156</v>
      </c>
      <c r="I98">
        <v>8</v>
      </c>
      <c r="J98" s="1">
        <v>12223.45</v>
      </c>
      <c r="K98">
        <v>0.4</v>
      </c>
      <c r="L98" s="1">
        <v>62483.59</v>
      </c>
      <c r="M98" s="1">
        <v>10563.05</v>
      </c>
      <c r="N98" s="1">
        <v>68.510000000000005</v>
      </c>
      <c r="O98" t="s">
        <v>36</v>
      </c>
      <c r="P98">
        <v>4</v>
      </c>
      <c r="Q98" t="b">
        <v>0</v>
      </c>
      <c r="R98" t="s">
        <v>175</v>
      </c>
      <c r="S98">
        <v>7</v>
      </c>
      <c r="T98" t="e">
        <f>IF(#REF!&lt;=25, "Young Age", IF(#REF!&lt;=40, "Mid Age", "Old Age"))</f>
        <v>#REF!</v>
      </c>
      <c r="U98" t="str">
        <f t="shared" si="1"/>
        <v>Delayed</v>
      </c>
    </row>
    <row r="99" spans="1:21" x14ac:dyDescent="0.35">
      <c r="A99" t="s">
        <v>338</v>
      </c>
      <c r="B99" s="13">
        <v>44885</v>
      </c>
      <c r="C99" t="s">
        <v>339</v>
      </c>
      <c r="D99" t="s">
        <v>3</v>
      </c>
      <c r="E99" t="s">
        <v>14</v>
      </c>
      <c r="F99" t="s">
        <v>22</v>
      </c>
      <c r="G99" t="s">
        <v>105</v>
      </c>
      <c r="H99" t="s">
        <v>106</v>
      </c>
      <c r="I99">
        <v>4</v>
      </c>
      <c r="J99" s="1">
        <v>73017.83</v>
      </c>
      <c r="K99">
        <v>0.22</v>
      </c>
      <c r="L99" s="1">
        <v>192150.99</v>
      </c>
      <c r="M99" s="1">
        <v>23288.67</v>
      </c>
      <c r="N99" s="1">
        <v>32.14</v>
      </c>
      <c r="O99" t="s">
        <v>49</v>
      </c>
      <c r="P99">
        <v>3</v>
      </c>
      <c r="Q99" t="b">
        <v>0</v>
      </c>
      <c r="R99" t="s">
        <v>18</v>
      </c>
      <c r="S99">
        <v>8</v>
      </c>
      <c r="T99" t="e">
        <f>IF(#REF!&lt;=25, "Young Age", IF(#REF!&lt;=40, "Mid Age", "Old Age"))</f>
        <v>#REF!</v>
      </c>
      <c r="U99" t="str">
        <f t="shared" si="1"/>
        <v>Over Delayed</v>
      </c>
    </row>
    <row r="100" spans="1:21" x14ac:dyDescent="0.35">
      <c r="A100" t="s">
        <v>340</v>
      </c>
      <c r="B100" s="13">
        <v>43897</v>
      </c>
      <c r="C100" t="s">
        <v>341</v>
      </c>
      <c r="D100" t="s">
        <v>47</v>
      </c>
      <c r="E100" t="s">
        <v>61</v>
      </c>
      <c r="F100" t="s">
        <v>222</v>
      </c>
      <c r="G100" t="s">
        <v>23</v>
      </c>
      <c r="H100" t="s">
        <v>199</v>
      </c>
      <c r="I100">
        <v>8</v>
      </c>
      <c r="J100" s="1">
        <v>25624.31</v>
      </c>
      <c r="K100">
        <v>0.12</v>
      </c>
      <c r="L100" s="1">
        <v>188109.47</v>
      </c>
      <c r="M100" s="1">
        <v>45753.79</v>
      </c>
      <c r="N100" s="1">
        <v>65.63</v>
      </c>
      <c r="O100" t="s">
        <v>49</v>
      </c>
      <c r="P100">
        <v>1</v>
      </c>
      <c r="Q100" t="b">
        <v>0</v>
      </c>
      <c r="R100" t="s">
        <v>18</v>
      </c>
      <c r="S100">
        <v>3</v>
      </c>
      <c r="T100" t="e">
        <f>IF(#REF!&lt;=25, "Young Age", IF(#REF!&lt;=40, "Mid Age", "Old Age"))</f>
        <v>#REF!</v>
      </c>
      <c r="U100" t="str">
        <f t="shared" si="1"/>
        <v>Okay</v>
      </c>
    </row>
    <row r="101" spans="1:21" x14ac:dyDescent="0.35">
      <c r="A101" t="s">
        <v>342</v>
      </c>
      <c r="B101" s="13">
        <v>44221</v>
      </c>
      <c r="C101" t="s">
        <v>343</v>
      </c>
      <c r="D101" t="s">
        <v>13</v>
      </c>
      <c r="E101" t="s">
        <v>4</v>
      </c>
      <c r="F101" t="s">
        <v>34</v>
      </c>
      <c r="G101" t="s">
        <v>16</v>
      </c>
      <c r="H101" t="s">
        <v>160</v>
      </c>
      <c r="I101">
        <v>4</v>
      </c>
      <c r="J101" s="1">
        <v>521.44000000000005</v>
      </c>
      <c r="K101">
        <v>0.14000000000000001</v>
      </c>
      <c r="L101" s="1">
        <v>1538.13</v>
      </c>
      <c r="M101" s="1">
        <v>492.45</v>
      </c>
      <c r="N101" s="1">
        <v>50.42</v>
      </c>
      <c r="O101" t="s">
        <v>57</v>
      </c>
      <c r="P101">
        <v>1</v>
      </c>
      <c r="Q101" t="b">
        <v>0</v>
      </c>
      <c r="R101" t="s">
        <v>37</v>
      </c>
      <c r="S101">
        <v>10</v>
      </c>
      <c r="T101" t="e">
        <f>IF(#REF!&lt;=25, "Young Age", IF(#REF!&lt;=40, "Mid Age", "Old Age"))</f>
        <v>#REF!</v>
      </c>
      <c r="U101" t="str">
        <f t="shared" si="1"/>
        <v>Over Delayed</v>
      </c>
    </row>
    <row r="102" spans="1:21" x14ac:dyDescent="0.35">
      <c r="A102" t="s">
        <v>344</v>
      </c>
      <c r="B102" s="13">
        <v>45306</v>
      </c>
      <c r="C102" t="s">
        <v>345</v>
      </c>
      <c r="D102" t="s">
        <v>3</v>
      </c>
      <c r="E102" t="s">
        <v>4</v>
      </c>
      <c r="F102" t="s">
        <v>5</v>
      </c>
      <c r="G102" t="s">
        <v>55</v>
      </c>
      <c r="H102" t="s">
        <v>56</v>
      </c>
      <c r="I102">
        <v>6</v>
      </c>
      <c r="J102" s="1">
        <v>3871.22</v>
      </c>
      <c r="K102">
        <v>0.33</v>
      </c>
      <c r="L102" s="1">
        <v>16031.48</v>
      </c>
      <c r="M102" s="1">
        <v>5072.13</v>
      </c>
      <c r="N102" s="1">
        <v>43.12</v>
      </c>
      <c r="O102" t="s">
        <v>8</v>
      </c>
      <c r="P102">
        <v>4</v>
      </c>
      <c r="Q102" t="b">
        <v>0</v>
      </c>
      <c r="R102" t="s">
        <v>18</v>
      </c>
      <c r="S102">
        <v>3</v>
      </c>
      <c r="T102" t="e">
        <f>IF(#REF!&lt;=25, "Young Age", IF(#REF!&lt;=40, "Mid Age", "Old Age"))</f>
        <v>#REF!</v>
      </c>
      <c r="U102" t="str">
        <f t="shared" si="1"/>
        <v>Okay</v>
      </c>
    </row>
    <row r="103" spans="1:21" x14ac:dyDescent="0.35">
      <c r="A103" t="s">
        <v>346</v>
      </c>
      <c r="B103" s="13">
        <v>45070</v>
      </c>
      <c r="C103" t="s">
        <v>347</v>
      </c>
      <c r="D103" t="s">
        <v>3</v>
      </c>
      <c r="E103" t="s">
        <v>14</v>
      </c>
      <c r="F103" t="s">
        <v>15</v>
      </c>
      <c r="G103" t="s">
        <v>41</v>
      </c>
      <c r="H103" t="s">
        <v>42</v>
      </c>
      <c r="I103">
        <v>8</v>
      </c>
      <c r="J103" s="1">
        <v>579.77</v>
      </c>
      <c r="K103">
        <v>0.36</v>
      </c>
      <c r="L103" s="1">
        <v>3954.73</v>
      </c>
      <c r="M103" s="1">
        <v>2230.94</v>
      </c>
      <c r="N103" s="1">
        <v>42.6</v>
      </c>
      <c r="O103" t="s">
        <v>8</v>
      </c>
      <c r="P103">
        <v>3</v>
      </c>
      <c r="Q103" t="b">
        <v>0</v>
      </c>
      <c r="R103" t="s">
        <v>18</v>
      </c>
      <c r="S103">
        <v>7</v>
      </c>
      <c r="T103" t="e">
        <f>IF(#REF!&lt;=25, "Young Age", IF(#REF!&lt;=40, "Mid Age", "Old Age"))</f>
        <v>#REF!</v>
      </c>
      <c r="U103" t="str">
        <f t="shared" si="1"/>
        <v>Delayed</v>
      </c>
    </row>
    <row r="104" spans="1:21" x14ac:dyDescent="0.35">
      <c r="A104" t="s">
        <v>348</v>
      </c>
      <c r="B104" s="13">
        <v>44290</v>
      </c>
      <c r="C104" t="s">
        <v>349</v>
      </c>
      <c r="D104" t="s">
        <v>13</v>
      </c>
      <c r="E104" t="s">
        <v>53</v>
      </c>
      <c r="F104" t="s">
        <v>54</v>
      </c>
      <c r="G104" t="s">
        <v>6</v>
      </c>
      <c r="H104" t="s">
        <v>35</v>
      </c>
      <c r="I104">
        <v>1</v>
      </c>
      <c r="J104" s="1">
        <v>116.68</v>
      </c>
      <c r="K104">
        <v>0.06</v>
      </c>
      <c r="L104" s="1">
        <v>118.23</v>
      </c>
      <c r="M104" s="1">
        <v>9.75</v>
      </c>
      <c r="N104" s="1">
        <v>47.55</v>
      </c>
      <c r="O104" t="s">
        <v>49</v>
      </c>
      <c r="P104">
        <v>1</v>
      </c>
      <c r="Q104" t="b">
        <v>0</v>
      </c>
      <c r="R104" t="s">
        <v>18</v>
      </c>
      <c r="S104">
        <v>8</v>
      </c>
      <c r="T104" t="e">
        <f>IF(#REF!&lt;=25, "Young Age", IF(#REF!&lt;=40, "Mid Age", "Old Age"))</f>
        <v>#REF!</v>
      </c>
      <c r="U104" t="str">
        <f t="shared" si="1"/>
        <v>Over Delayed</v>
      </c>
    </row>
    <row r="105" spans="1:21" x14ac:dyDescent="0.35">
      <c r="A105" t="s">
        <v>350</v>
      </c>
      <c r="B105" s="13" t="s">
        <v>351</v>
      </c>
      <c r="C105" t="s">
        <v>352</v>
      </c>
      <c r="D105" t="s">
        <v>3</v>
      </c>
      <c r="E105" t="s">
        <v>53</v>
      </c>
      <c r="F105" t="s">
        <v>114</v>
      </c>
      <c r="G105" t="s">
        <v>6</v>
      </c>
      <c r="H105" t="s">
        <v>353</v>
      </c>
      <c r="I105">
        <v>4</v>
      </c>
      <c r="J105" s="1">
        <v>161.52000000000001</v>
      </c>
      <c r="K105">
        <v>0.17</v>
      </c>
      <c r="L105" s="1">
        <v>815.36</v>
      </c>
      <c r="M105" s="1">
        <v>66.150000000000006</v>
      </c>
      <c r="N105" s="1">
        <v>45.84</v>
      </c>
      <c r="O105" t="s">
        <v>36</v>
      </c>
      <c r="P105">
        <v>4</v>
      </c>
      <c r="Q105" t="b">
        <v>0</v>
      </c>
      <c r="R105" t="s">
        <v>63</v>
      </c>
      <c r="S105">
        <v>8</v>
      </c>
      <c r="T105" t="e">
        <f>IF(#REF!&lt;=25, "Young Age", IF(#REF!&lt;=40, "Mid Age", "Old Age"))</f>
        <v>#REF!</v>
      </c>
      <c r="U105" t="str">
        <f t="shared" si="1"/>
        <v>Over Delayed</v>
      </c>
    </row>
    <row r="106" spans="1:21" x14ac:dyDescent="0.35">
      <c r="A106" t="s">
        <v>354</v>
      </c>
      <c r="B106" s="13">
        <v>44322</v>
      </c>
      <c r="C106" t="s">
        <v>355</v>
      </c>
      <c r="D106" t="s">
        <v>3</v>
      </c>
      <c r="E106" t="s">
        <v>14</v>
      </c>
      <c r="F106" t="s">
        <v>84</v>
      </c>
      <c r="G106" t="s">
        <v>41</v>
      </c>
      <c r="H106" t="s">
        <v>261</v>
      </c>
      <c r="I106">
        <v>7</v>
      </c>
      <c r="J106" s="1">
        <v>1042.98</v>
      </c>
      <c r="K106">
        <v>0.3</v>
      </c>
      <c r="L106" s="1">
        <v>7120.16</v>
      </c>
      <c r="M106" s="1">
        <v>2589.16</v>
      </c>
      <c r="N106" s="1">
        <v>61.15</v>
      </c>
      <c r="O106" t="s">
        <v>8</v>
      </c>
      <c r="P106">
        <v>2</v>
      </c>
      <c r="Q106" t="b">
        <v>1</v>
      </c>
      <c r="R106" t="s">
        <v>9</v>
      </c>
      <c r="S106">
        <v>4</v>
      </c>
      <c r="T106" t="e">
        <f>IF(#REF!&lt;=25, "Young Age", IF(#REF!&lt;=40, "Mid Age", "Old Age"))</f>
        <v>#REF!</v>
      </c>
      <c r="U106" t="str">
        <f t="shared" si="1"/>
        <v>Okay</v>
      </c>
    </row>
    <row r="107" spans="1:21" x14ac:dyDescent="0.35">
      <c r="A107" t="s">
        <v>356</v>
      </c>
      <c r="B107" s="13">
        <v>44257</v>
      </c>
      <c r="C107" t="s">
        <v>357</v>
      </c>
      <c r="D107" t="s">
        <v>47</v>
      </c>
      <c r="E107" t="s">
        <v>4</v>
      </c>
      <c r="F107" t="s">
        <v>148</v>
      </c>
      <c r="G107" t="s">
        <v>55</v>
      </c>
      <c r="H107" t="s">
        <v>185</v>
      </c>
      <c r="I107">
        <v>3</v>
      </c>
      <c r="J107" s="1">
        <v>3314.25</v>
      </c>
      <c r="K107">
        <v>0.1</v>
      </c>
      <c r="L107" s="1">
        <v>9673.58</v>
      </c>
      <c r="M107" s="1">
        <v>3783</v>
      </c>
      <c r="N107" s="1">
        <v>52.17</v>
      </c>
      <c r="O107" t="s">
        <v>57</v>
      </c>
      <c r="P107" t="s">
        <v>2149</v>
      </c>
      <c r="Q107" t="b">
        <v>0</v>
      </c>
      <c r="R107" t="s">
        <v>115</v>
      </c>
      <c r="S107">
        <v>8</v>
      </c>
      <c r="T107" t="e">
        <f>IF(#REF!&lt;=25, "Young Age", IF(#REF!&lt;=40, "Mid Age", "Old Age"))</f>
        <v>#REF!</v>
      </c>
      <c r="U107" t="str">
        <f t="shared" si="1"/>
        <v>Over Delayed</v>
      </c>
    </row>
    <row r="108" spans="1:21" x14ac:dyDescent="0.35">
      <c r="A108" t="s">
        <v>358</v>
      </c>
      <c r="B108" s="13">
        <v>45458</v>
      </c>
      <c r="C108" t="s">
        <v>359</v>
      </c>
      <c r="D108" t="s">
        <v>13</v>
      </c>
      <c r="E108" t="s">
        <v>61</v>
      </c>
      <c r="F108" t="s">
        <v>62</v>
      </c>
      <c r="G108" t="s">
        <v>105</v>
      </c>
      <c r="H108" t="s">
        <v>106</v>
      </c>
      <c r="I108">
        <v>3</v>
      </c>
      <c r="J108" s="1">
        <v>48747.69</v>
      </c>
      <c r="K108">
        <v>0.28999999999999998</v>
      </c>
      <c r="L108" s="1">
        <v>172382.02</v>
      </c>
      <c r="M108" s="1">
        <v>22319.7</v>
      </c>
      <c r="N108" s="1">
        <v>42.24</v>
      </c>
      <c r="O108" t="s">
        <v>36</v>
      </c>
      <c r="P108">
        <v>5</v>
      </c>
      <c r="Q108" t="b">
        <v>0</v>
      </c>
      <c r="R108" t="s">
        <v>18</v>
      </c>
      <c r="S108">
        <v>6</v>
      </c>
      <c r="T108" t="e">
        <f>IF(#REF!&lt;=25, "Young Age", IF(#REF!&lt;=40, "Mid Age", "Old Age"))</f>
        <v>#REF!</v>
      </c>
      <c r="U108" t="str">
        <f t="shared" si="1"/>
        <v>Delayed</v>
      </c>
    </row>
    <row r="109" spans="1:21" x14ac:dyDescent="0.35">
      <c r="A109" t="s">
        <v>360</v>
      </c>
      <c r="B109" s="13">
        <v>44909</v>
      </c>
      <c r="C109" t="s">
        <v>361</v>
      </c>
      <c r="D109" t="s">
        <v>13</v>
      </c>
      <c r="E109" t="s">
        <v>14</v>
      </c>
      <c r="F109" t="s">
        <v>28</v>
      </c>
      <c r="G109" t="s">
        <v>41</v>
      </c>
      <c r="H109" t="s">
        <v>85</v>
      </c>
      <c r="I109">
        <v>9</v>
      </c>
      <c r="J109" s="1">
        <v>1471.74</v>
      </c>
      <c r="K109">
        <v>0.05</v>
      </c>
      <c r="L109" s="1">
        <v>10167.9</v>
      </c>
      <c r="M109" s="1">
        <v>5411.76</v>
      </c>
      <c r="N109" s="1">
        <v>50.89</v>
      </c>
      <c r="O109" t="s">
        <v>43</v>
      </c>
      <c r="P109">
        <v>4</v>
      </c>
      <c r="Q109" t="b">
        <v>0</v>
      </c>
      <c r="R109" t="s">
        <v>18</v>
      </c>
      <c r="S109">
        <v>7</v>
      </c>
      <c r="T109" t="e">
        <f>IF(#REF!&lt;=25, "Young Age", IF(#REF!&lt;=40, "Mid Age", "Old Age"))</f>
        <v>#REF!</v>
      </c>
      <c r="U109" t="str">
        <f t="shared" si="1"/>
        <v>Delayed</v>
      </c>
    </row>
    <row r="110" spans="1:21" x14ac:dyDescent="0.35">
      <c r="A110" t="s">
        <v>362</v>
      </c>
      <c r="B110" s="13">
        <v>45032</v>
      </c>
      <c r="C110" t="s">
        <v>363</v>
      </c>
      <c r="D110" t="s">
        <v>13</v>
      </c>
      <c r="E110" t="s">
        <v>14</v>
      </c>
      <c r="F110" t="s">
        <v>22</v>
      </c>
      <c r="G110" t="s">
        <v>105</v>
      </c>
      <c r="H110" t="s">
        <v>149</v>
      </c>
      <c r="I110">
        <v>8</v>
      </c>
      <c r="J110" s="1">
        <v>27632.84</v>
      </c>
      <c r="K110">
        <v>0.08</v>
      </c>
      <c r="L110" s="1">
        <v>295286.40999999997</v>
      </c>
      <c r="M110" s="1">
        <v>33436.120000000003</v>
      </c>
      <c r="N110" s="1">
        <v>20.29</v>
      </c>
      <c r="O110" t="s">
        <v>36</v>
      </c>
      <c r="P110">
        <v>3</v>
      </c>
      <c r="Q110" t="b">
        <v>0</v>
      </c>
      <c r="R110" t="s">
        <v>18</v>
      </c>
      <c r="S110">
        <v>7</v>
      </c>
      <c r="T110" t="e">
        <f>IF(#REF!&lt;=25, "Young Age", IF(#REF!&lt;=40, "Mid Age", "Old Age"))</f>
        <v>#REF!</v>
      </c>
      <c r="U110" t="str">
        <f t="shared" si="1"/>
        <v>Delayed</v>
      </c>
    </row>
    <row r="111" spans="1:21" x14ac:dyDescent="0.35">
      <c r="A111" t="s">
        <v>364</v>
      </c>
      <c r="B111" s="13">
        <v>44324</v>
      </c>
      <c r="C111" t="s">
        <v>365</v>
      </c>
      <c r="D111" t="s">
        <v>3</v>
      </c>
      <c r="E111" t="s">
        <v>14</v>
      </c>
      <c r="F111" t="s">
        <v>15</v>
      </c>
      <c r="G111" t="s">
        <v>124</v>
      </c>
      <c r="H111" t="s">
        <v>254</v>
      </c>
      <c r="I111">
        <v>7</v>
      </c>
      <c r="J111" s="1">
        <v>11542.97</v>
      </c>
      <c r="K111">
        <v>0.16</v>
      </c>
      <c r="L111" s="1">
        <v>97177.38</v>
      </c>
      <c r="M111" s="1">
        <v>24424.83</v>
      </c>
      <c r="N111" s="1">
        <v>53.27</v>
      </c>
      <c r="O111" t="s">
        <v>30</v>
      </c>
      <c r="P111">
        <v>1</v>
      </c>
      <c r="Q111" t="b">
        <v>1</v>
      </c>
      <c r="R111" t="s">
        <v>9</v>
      </c>
      <c r="S111">
        <v>7</v>
      </c>
      <c r="T111" t="e">
        <f>IF(#REF!&lt;=25, "Young Age", IF(#REF!&lt;=40, "Mid Age", "Old Age"))</f>
        <v>#REF!</v>
      </c>
      <c r="U111" t="str">
        <f t="shared" si="1"/>
        <v>Delayed</v>
      </c>
    </row>
    <row r="112" spans="1:21" x14ac:dyDescent="0.35">
      <c r="A112" t="s">
        <v>366</v>
      </c>
      <c r="B112" s="13">
        <v>44045</v>
      </c>
      <c r="C112" t="s">
        <v>367</v>
      </c>
      <c r="D112" t="s">
        <v>3</v>
      </c>
      <c r="E112" t="s">
        <v>14</v>
      </c>
      <c r="F112" t="s">
        <v>84</v>
      </c>
      <c r="G112" t="s">
        <v>41</v>
      </c>
      <c r="H112" t="s">
        <v>85</v>
      </c>
      <c r="I112">
        <v>8</v>
      </c>
      <c r="J112" s="1">
        <v>1325.02</v>
      </c>
      <c r="K112">
        <v>0.09</v>
      </c>
      <c r="L112" s="1">
        <v>8717.89</v>
      </c>
      <c r="M112" s="1">
        <v>3265.49</v>
      </c>
      <c r="N112" s="1">
        <v>41.67</v>
      </c>
      <c r="O112" t="s">
        <v>8</v>
      </c>
      <c r="P112">
        <v>2</v>
      </c>
      <c r="Q112" t="b">
        <v>0</v>
      </c>
      <c r="R112" t="s">
        <v>63</v>
      </c>
      <c r="S112">
        <v>5</v>
      </c>
      <c r="T112" t="e">
        <f>IF(#REF!&lt;=25, "Young Age", IF(#REF!&lt;=40, "Mid Age", "Old Age"))</f>
        <v>#REF!</v>
      </c>
      <c r="U112" t="str">
        <f t="shared" si="1"/>
        <v>Delayed</v>
      </c>
    </row>
    <row r="113" spans="1:21" x14ac:dyDescent="0.35">
      <c r="A113" t="s">
        <v>368</v>
      </c>
      <c r="B113" s="13">
        <v>45485</v>
      </c>
      <c r="C113" t="s">
        <v>369</v>
      </c>
      <c r="D113" t="s">
        <v>3</v>
      </c>
      <c r="E113" t="s">
        <v>89</v>
      </c>
      <c r="F113" t="s">
        <v>299</v>
      </c>
      <c r="G113" t="s">
        <v>6</v>
      </c>
      <c r="H113" t="s">
        <v>7</v>
      </c>
      <c r="I113">
        <v>-1</v>
      </c>
      <c r="J113" s="1">
        <v>84.21</v>
      </c>
      <c r="K113">
        <v>0.13</v>
      </c>
      <c r="L113" s="1">
        <v>125.78</v>
      </c>
      <c r="M113" s="1">
        <v>8.9</v>
      </c>
      <c r="N113" s="1">
        <v>47.91</v>
      </c>
      <c r="O113" t="s">
        <v>43</v>
      </c>
      <c r="P113">
        <v>4</v>
      </c>
      <c r="Q113" t="b">
        <v>0</v>
      </c>
      <c r="R113" t="s">
        <v>18</v>
      </c>
      <c r="S113">
        <v>2</v>
      </c>
      <c r="T113" t="e">
        <f>IF(#REF!&lt;=25, "Young Age", IF(#REF!&lt;=40, "Mid Age", "Old Age"))</f>
        <v>#REF!</v>
      </c>
      <c r="U113" t="str">
        <f t="shared" si="1"/>
        <v>Okay</v>
      </c>
    </row>
    <row r="114" spans="1:21" x14ac:dyDescent="0.35">
      <c r="A114" t="s">
        <v>370</v>
      </c>
      <c r="B114" s="13">
        <v>45078</v>
      </c>
      <c r="C114" t="s">
        <v>371</v>
      </c>
      <c r="D114" t="s">
        <v>13</v>
      </c>
      <c r="E114" t="s">
        <v>61</v>
      </c>
      <c r="F114" t="s">
        <v>104</v>
      </c>
      <c r="G114" t="s">
        <v>124</v>
      </c>
      <c r="H114" t="s">
        <v>139</v>
      </c>
      <c r="I114">
        <v>6</v>
      </c>
      <c r="J114" s="1">
        <v>5611.57</v>
      </c>
      <c r="K114">
        <v>0.2</v>
      </c>
      <c r="L114" s="1">
        <v>37888.42</v>
      </c>
      <c r="M114" s="1">
        <v>6107.6</v>
      </c>
      <c r="N114" s="1">
        <v>97.42</v>
      </c>
      <c r="O114" t="s">
        <v>49</v>
      </c>
      <c r="P114">
        <v>5</v>
      </c>
      <c r="Q114" t="b">
        <v>0</v>
      </c>
      <c r="R114" t="s">
        <v>18</v>
      </c>
      <c r="S114">
        <v>2</v>
      </c>
      <c r="T114" t="e">
        <f>IF(#REF!&lt;=25, "Young Age", IF(#REF!&lt;=40, "Mid Age", "Old Age"))</f>
        <v>#REF!</v>
      </c>
      <c r="U114" t="str">
        <f t="shared" si="1"/>
        <v>Okay</v>
      </c>
    </row>
    <row r="115" spans="1:21" x14ac:dyDescent="0.35">
      <c r="A115" t="s">
        <v>372</v>
      </c>
      <c r="B115" s="13">
        <v>45276</v>
      </c>
      <c r="C115" t="s">
        <v>373</v>
      </c>
      <c r="D115" t="s">
        <v>47</v>
      </c>
      <c r="E115" t="s">
        <v>4</v>
      </c>
      <c r="F115" t="s">
        <v>5</v>
      </c>
      <c r="G115" t="s">
        <v>6</v>
      </c>
      <c r="H115" t="s">
        <v>374</v>
      </c>
      <c r="I115">
        <v>9</v>
      </c>
      <c r="J115" s="1">
        <v>312.52999999999997</v>
      </c>
      <c r="K115">
        <v>0.35</v>
      </c>
      <c r="L115" s="1">
        <v>1437</v>
      </c>
      <c r="M115" s="1">
        <v>155.72999999999999</v>
      </c>
      <c r="N115" s="1">
        <v>48.28</v>
      </c>
      <c r="O115" t="s">
        <v>43</v>
      </c>
      <c r="P115">
        <v>4</v>
      </c>
      <c r="Q115" t="b">
        <v>0</v>
      </c>
      <c r="R115" t="s">
        <v>115</v>
      </c>
      <c r="S115">
        <v>5</v>
      </c>
      <c r="T115" t="e">
        <f>IF(#REF!&lt;=25, "Young Age", IF(#REF!&lt;=40, "Mid Age", "Old Age"))</f>
        <v>#REF!</v>
      </c>
      <c r="U115" t="str">
        <f t="shared" si="1"/>
        <v>Delayed</v>
      </c>
    </row>
    <row r="116" spans="1:21" x14ac:dyDescent="0.35">
      <c r="A116" t="s">
        <v>375</v>
      </c>
      <c r="B116" s="13">
        <v>45647</v>
      </c>
      <c r="C116" t="s">
        <v>376</v>
      </c>
      <c r="D116" t="s">
        <v>47</v>
      </c>
      <c r="E116" t="s">
        <v>89</v>
      </c>
      <c r="F116" t="s">
        <v>99</v>
      </c>
      <c r="G116" t="s">
        <v>124</v>
      </c>
      <c r="H116" t="s">
        <v>125</v>
      </c>
      <c r="I116">
        <v>2</v>
      </c>
      <c r="J116" s="1">
        <v>13057.02</v>
      </c>
      <c r="K116">
        <v>0.35</v>
      </c>
      <c r="L116" s="1">
        <v>14206.67</v>
      </c>
      <c r="M116" s="1">
        <v>3578.76</v>
      </c>
      <c r="N116" s="1">
        <v>69.31</v>
      </c>
      <c r="O116" t="s">
        <v>49</v>
      </c>
      <c r="P116">
        <v>5</v>
      </c>
      <c r="Q116" t="b">
        <v>0</v>
      </c>
      <c r="R116" t="s">
        <v>18</v>
      </c>
      <c r="S116">
        <v>10</v>
      </c>
      <c r="T116" t="e">
        <f>IF(#REF!&lt;=25, "Young Age", IF(#REF!&lt;=40, "Mid Age", "Old Age"))</f>
        <v>#REF!</v>
      </c>
      <c r="U116" t="str">
        <f t="shared" si="1"/>
        <v>Over Delayed</v>
      </c>
    </row>
    <row r="117" spans="1:21" x14ac:dyDescent="0.35">
      <c r="A117" t="s">
        <v>377</v>
      </c>
      <c r="B117" s="13">
        <v>45047</v>
      </c>
      <c r="C117" t="s">
        <v>378</v>
      </c>
      <c r="D117" t="s">
        <v>13</v>
      </c>
      <c r="E117" t="s">
        <v>89</v>
      </c>
      <c r="F117" t="s">
        <v>299</v>
      </c>
      <c r="G117" t="s">
        <v>55</v>
      </c>
      <c r="H117" t="s">
        <v>56</v>
      </c>
      <c r="I117">
        <v>7</v>
      </c>
      <c r="J117" s="1">
        <v>3482.32</v>
      </c>
      <c r="K117">
        <v>0.35</v>
      </c>
      <c r="L117" s="1">
        <v>26908.32</v>
      </c>
      <c r="M117" s="1">
        <v>8716.81</v>
      </c>
      <c r="N117" s="1">
        <v>68.92</v>
      </c>
      <c r="O117" t="s">
        <v>57</v>
      </c>
      <c r="P117">
        <v>4</v>
      </c>
      <c r="Q117" t="b">
        <v>0</v>
      </c>
      <c r="R117" t="s">
        <v>18</v>
      </c>
      <c r="S117">
        <v>7</v>
      </c>
      <c r="T117" t="e">
        <f>IF(#REF!&lt;=25, "Young Age", IF(#REF!&lt;=40, "Mid Age", "Old Age"))</f>
        <v>#REF!</v>
      </c>
      <c r="U117" t="str">
        <f t="shared" si="1"/>
        <v>Delayed</v>
      </c>
    </row>
    <row r="118" spans="1:21" x14ac:dyDescent="0.35">
      <c r="A118" t="s">
        <v>379</v>
      </c>
      <c r="B118" s="13">
        <v>44244</v>
      </c>
      <c r="C118" t="s">
        <v>380</v>
      </c>
      <c r="D118" t="s">
        <v>13</v>
      </c>
      <c r="E118" t="s">
        <v>4</v>
      </c>
      <c r="F118" t="s">
        <v>148</v>
      </c>
      <c r="G118" t="s">
        <v>124</v>
      </c>
      <c r="H118" t="s">
        <v>254</v>
      </c>
      <c r="I118">
        <v>3</v>
      </c>
      <c r="J118" s="1">
        <v>11359.59</v>
      </c>
      <c r="K118">
        <v>0.01</v>
      </c>
      <c r="L118" s="1">
        <v>30752.81</v>
      </c>
      <c r="M118" s="1">
        <v>7374.96</v>
      </c>
      <c r="N118" s="1">
        <v>41.65</v>
      </c>
      <c r="O118" t="s">
        <v>8</v>
      </c>
      <c r="P118">
        <v>1</v>
      </c>
      <c r="Q118" t="b">
        <v>0</v>
      </c>
      <c r="R118" t="s">
        <v>18</v>
      </c>
      <c r="S118">
        <v>8</v>
      </c>
      <c r="T118" t="e">
        <f>IF(#REF!&lt;=25, "Young Age", IF(#REF!&lt;=40, "Mid Age", "Old Age"))</f>
        <v>#REF!</v>
      </c>
      <c r="U118" t="str">
        <f t="shared" si="1"/>
        <v>Over Delayed</v>
      </c>
    </row>
    <row r="119" spans="1:21" x14ac:dyDescent="0.35">
      <c r="A119" t="s">
        <v>381</v>
      </c>
      <c r="B119" s="13">
        <v>44175</v>
      </c>
      <c r="C119" t="s">
        <v>382</v>
      </c>
      <c r="D119" t="s">
        <v>3</v>
      </c>
      <c r="E119" t="s">
        <v>4</v>
      </c>
      <c r="F119" t="s">
        <v>34</v>
      </c>
      <c r="G119" t="s">
        <v>124</v>
      </c>
      <c r="H119" t="s">
        <v>195</v>
      </c>
      <c r="I119">
        <v>5</v>
      </c>
      <c r="J119" s="1">
        <v>5242.7700000000004</v>
      </c>
      <c r="K119">
        <v>0.31</v>
      </c>
      <c r="L119" s="1">
        <v>13993.35</v>
      </c>
      <c r="M119" s="1">
        <v>2992.91</v>
      </c>
      <c r="N119" s="1">
        <v>74.58</v>
      </c>
      <c r="O119" t="s">
        <v>30</v>
      </c>
      <c r="P119">
        <v>1</v>
      </c>
      <c r="Q119" t="b">
        <v>1</v>
      </c>
      <c r="R119" t="s">
        <v>9</v>
      </c>
      <c r="S119">
        <v>5</v>
      </c>
      <c r="T119" t="e">
        <f>IF(#REF!&lt;=25, "Young Age", IF(#REF!&lt;=40, "Mid Age", "Old Age"))</f>
        <v>#REF!</v>
      </c>
      <c r="U119" t="str">
        <f t="shared" si="1"/>
        <v>Delayed</v>
      </c>
    </row>
    <row r="120" spans="1:21" x14ac:dyDescent="0.35">
      <c r="A120" t="s">
        <v>383</v>
      </c>
      <c r="B120" s="13">
        <v>43864</v>
      </c>
      <c r="C120" t="s">
        <v>384</v>
      </c>
      <c r="D120" t="s">
        <v>47</v>
      </c>
      <c r="E120" t="s">
        <v>14</v>
      </c>
      <c r="F120" t="s">
        <v>28</v>
      </c>
      <c r="G120" t="s">
        <v>23</v>
      </c>
      <c r="H120" t="s">
        <v>95</v>
      </c>
      <c r="I120">
        <v>10</v>
      </c>
      <c r="J120" s="1">
        <v>9468.07</v>
      </c>
      <c r="K120">
        <v>0.32</v>
      </c>
      <c r="L120" s="1">
        <v>57174.239999999998</v>
      </c>
      <c r="M120" s="1">
        <v>15202.22</v>
      </c>
      <c r="N120" s="1">
        <v>40.98</v>
      </c>
      <c r="O120" t="s">
        <v>30</v>
      </c>
      <c r="P120" t="s">
        <v>2149</v>
      </c>
      <c r="Q120" t="b">
        <v>0</v>
      </c>
      <c r="R120" t="s">
        <v>18</v>
      </c>
      <c r="S120">
        <v>2</v>
      </c>
      <c r="T120" t="e">
        <f>IF(#REF!&lt;=25, "Young Age", IF(#REF!&lt;=40, "Mid Age", "Old Age"))</f>
        <v>#REF!</v>
      </c>
      <c r="U120" t="str">
        <f t="shared" si="1"/>
        <v>Okay</v>
      </c>
    </row>
    <row r="121" spans="1:21" x14ac:dyDescent="0.35">
      <c r="A121" t="s">
        <v>385</v>
      </c>
      <c r="B121" s="13">
        <v>44193</v>
      </c>
      <c r="C121" t="s">
        <v>386</v>
      </c>
      <c r="D121" t="s">
        <v>3</v>
      </c>
      <c r="E121" t="s">
        <v>89</v>
      </c>
      <c r="F121" t="s">
        <v>99</v>
      </c>
      <c r="G121" t="s">
        <v>6</v>
      </c>
      <c r="H121" t="s">
        <v>387</v>
      </c>
      <c r="I121">
        <v>8</v>
      </c>
      <c r="J121" s="1">
        <v>491.76</v>
      </c>
      <c r="K121">
        <v>0.08</v>
      </c>
      <c r="L121" s="1">
        <v>2780.1</v>
      </c>
      <c r="M121" s="1">
        <v>223.65</v>
      </c>
      <c r="N121" s="1">
        <v>61.84</v>
      </c>
      <c r="O121" t="s">
        <v>57</v>
      </c>
      <c r="P121">
        <v>2</v>
      </c>
      <c r="Q121" t="b">
        <v>0</v>
      </c>
      <c r="R121" t="s">
        <v>18</v>
      </c>
      <c r="S121">
        <v>4</v>
      </c>
      <c r="T121" t="e">
        <f>IF(#REF!&lt;=25, "Young Age", IF(#REF!&lt;=40, "Mid Age", "Old Age"))</f>
        <v>#REF!</v>
      </c>
      <c r="U121" t="str">
        <f t="shared" si="1"/>
        <v>Okay</v>
      </c>
    </row>
    <row r="122" spans="1:21" x14ac:dyDescent="0.35">
      <c r="A122" t="s">
        <v>388</v>
      </c>
      <c r="B122" s="13">
        <v>44667</v>
      </c>
      <c r="C122" t="s">
        <v>389</v>
      </c>
      <c r="D122" t="s">
        <v>13</v>
      </c>
      <c r="E122" t="s">
        <v>61</v>
      </c>
      <c r="F122" t="s">
        <v>222</v>
      </c>
      <c r="G122" t="s">
        <v>16</v>
      </c>
      <c r="H122" t="s">
        <v>390</v>
      </c>
      <c r="I122">
        <v>7</v>
      </c>
      <c r="J122" s="1">
        <v>2235.02</v>
      </c>
      <c r="K122">
        <v>0.37</v>
      </c>
      <c r="L122" s="1">
        <v>11756.21</v>
      </c>
      <c r="M122" s="1">
        <v>7295.66</v>
      </c>
      <c r="N122" s="1">
        <v>68.83</v>
      </c>
      <c r="O122" t="s">
        <v>57</v>
      </c>
      <c r="P122">
        <v>1</v>
      </c>
      <c r="Q122" t="b">
        <v>1</v>
      </c>
      <c r="R122" t="s">
        <v>9</v>
      </c>
      <c r="S122">
        <v>8</v>
      </c>
      <c r="T122" t="e">
        <f>IF(#REF!&lt;=25, "Young Age", IF(#REF!&lt;=40, "Mid Age", "Old Age"))</f>
        <v>#REF!</v>
      </c>
      <c r="U122" t="str">
        <f t="shared" si="1"/>
        <v>Over Delayed</v>
      </c>
    </row>
    <row r="123" spans="1:21" x14ac:dyDescent="0.35">
      <c r="A123" t="s">
        <v>391</v>
      </c>
      <c r="B123" s="13">
        <v>45616</v>
      </c>
      <c r="C123" t="s">
        <v>392</v>
      </c>
      <c r="D123" t="s">
        <v>3</v>
      </c>
      <c r="E123" t="s">
        <v>61</v>
      </c>
      <c r="F123" t="s">
        <v>104</v>
      </c>
      <c r="G123" t="s">
        <v>41</v>
      </c>
      <c r="H123" t="s">
        <v>129</v>
      </c>
      <c r="I123">
        <v>9</v>
      </c>
      <c r="J123" s="1">
        <v>1324.57</v>
      </c>
      <c r="K123">
        <v>0.38</v>
      </c>
      <c r="L123" s="1">
        <v>7683.45</v>
      </c>
      <c r="M123" s="1">
        <v>2086.59</v>
      </c>
      <c r="N123" s="1">
        <v>82.14</v>
      </c>
      <c r="O123" t="s">
        <v>57</v>
      </c>
      <c r="P123">
        <v>4</v>
      </c>
      <c r="Q123" t="b">
        <v>0</v>
      </c>
      <c r="R123" t="s">
        <v>18</v>
      </c>
      <c r="S123">
        <v>4</v>
      </c>
      <c r="T123" t="e">
        <f>IF(#REF!&lt;=25, "Young Age", IF(#REF!&lt;=40, "Mid Age", "Old Age"))</f>
        <v>#REF!</v>
      </c>
      <c r="U123" t="str">
        <f t="shared" si="1"/>
        <v>Okay</v>
      </c>
    </row>
    <row r="124" spans="1:21" x14ac:dyDescent="0.35">
      <c r="A124" t="s">
        <v>393</v>
      </c>
      <c r="B124" s="13">
        <v>45114</v>
      </c>
      <c r="C124" t="s">
        <v>394</v>
      </c>
      <c r="D124" t="s">
        <v>13</v>
      </c>
      <c r="E124" t="s">
        <v>53</v>
      </c>
      <c r="F124" t="s">
        <v>170</v>
      </c>
      <c r="G124" t="s">
        <v>124</v>
      </c>
      <c r="H124" t="s">
        <v>156</v>
      </c>
      <c r="I124">
        <v>1</v>
      </c>
      <c r="J124" s="1">
        <v>9949.4699999999993</v>
      </c>
      <c r="K124">
        <v>0.06</v>
      </c>
      <c r="L124" s="1">
        <v>13501.36</v>
      </c>
      <c r="M124" s="1">
        <v>3908.34</v>
      </c>
      <c r="N124" s="1">
        <v>42.57</v>
      </c>
      <c r="O124" t="s">
        <v>57</v>
      </c>
      <c r="P124" t="s">
        <v>2149</v>
      </c>
      <c r="Q124" t="b">
        <v>0</v>
      </c>
      <c r="R124" t="s">
        <v>18</v>
      </c>
      <c r="S124">
        <v>5</v>
      </c>
      <c r="T124" t="e">
        <f>IF(#REF!&lt;=25, "Young Age", IF(#REF!&lt;=40, "Mid Age", "Old Age"))</f>
        <v>#REF!</v>
      </c>
      <c r="U124" t="str">
        <f t="shared" si="1"/>
        <v>Delayed</v>
      </c>
    </row>
    <row r="125" spans="1:21" x14ac:dyDescent="0.35">
      <c r="A125" t="s">
        <v>395</v>
      </c>
      <c r="B125" s="13">
        <v>44796</v>
      </c>
      <c r="C125" t="s">
        <v>396</v>
      </c>
      <c r="D125" t="s">
        <v>13</v>
      </c>
      <c r="E125" t="s">
        <v>61</v>
      </c>
      <c r="F125" t="s">
        <v>271</v>
      </c>
      <c r="G125" t="s">
        <v>105</v>
      </c>
      <c r="H125" t="s">
        <v>120</v>
      </c>
      <c r="I125">
        <v>6</v>
      </c>
      <c r="J125" s="1">
        <v>45624.04</v>
      </c>
      <c r="K125">
        <v>0.24</v>
      </c>
      <c r="L125" s="1">
        <v>274607.48</v>
      </c>
      <c r="M125" s="1">
        <v>23542.83</v>
      </c>
      <c r="N125" s="1">
        <v>97.97</v>
      </c>
      <c r="O125" t="s">
        <v>57</v>
      </c>
      <c r="P125">
        <v>4</v>
      </c>
      <c r="Q125" t="b">
        <v>0</v>
      </c>
      <c r="R125" t="s">
        <v>18</v>
      </c>
      <c r="S125">
        <v>7</v>
      </c>
      <c r="T125" t="e">
        <f>IF(#REF!&lt;=25, "Young Age", IF(#REF!&lt;=40, "Mid Age", "Old Age"))</f>
        <v>#REF!</v>
      </c>
      <c r="U125" t="str">
        <f t="shared" si="1"/>
        <v>Delayed</v>
      </c>
    </row>
    <row r="126" spans="1:21" x14ac:dyDescent="0.35">
      <c r="A126" t="s">
        <v>397</v>
      </c>
      <c r="B126" s="13">
        <v>45065</v>
      </c>
      <c r="C126" t="s">
        <v>398</v>
      </c>
      <c r="D126" t="s">
        <v>47</v>
      </c>
      <c r="E126" t="s">
        <v>4</v>
      </c>
      <c r="F126" t="s">
        <v>48</v>
      </c>
      <c r="G126" t="s">
        <v>23</v>
      </c>
      <c r="H126" t="s">
        <v>164</v>
      </c>
      <c r="I126">
        <v>10</v>
      </c>
      <c r="J126" s="1">
        <v>7630.7</v>
      </c>
      <c r="K126">
        <v>0.21</v>
      </c>
      <c r="L126" s="1">
        <v>99978.26</v>
      </c>
      <c r="M126" s="1">
        <v>21558.18</v>
      </c>
      <c r="N126" s="1">
        <v>46.42</v>
      </c>
      <c r="O126" t="s">
        <v>43</v>
      </c>
      <c r="P126">
        <v>5</v>
      </c>
      <c r="Q126" t="b">
        <v>0</v>
      </c>
      <c r="R126" t="s">
        <v>63</v>
      </c>
      <c r="S126">
        <v>8</v>
      </c>
      <c r="T126" t="e">
        <f>IF(#REF!&lt;=25, "Young Age", IF(#REF!&lt;=40, "Mid Age", "Old Age"))</f>
        <v>#REF!</v>
      </c>
      <c r="U126" t="str">
        <f t="shared" si="1"/>
        <v>Over Delayed</v>
      </c>
    </row>
    <row r="127" spans="1:21" x14ac:dyDescent="0.35">
      <c r="A127" t="s">
        <v>399</v>
      </c>
      <c r="B127" s="13">
        <v>44009</v>
      </c>
      <c r="C127" t="s">
        <v>400</v>
      </c>
      <c r="D127" t="s">
        <v>47</v>
      </c>
      <c r="E127" t="s">
        <v>61</v>
      </c>
      <c r="F127" t="s">
        <v>222</v>
      </c>
      <c r="G127" t="s">
        <v>124</v>
      </c>
      <c r="H127" t="s">
        <v>156</v>
      </c>
      <c r="I127">
        <v>1</v>
      </c>
      <c r="J127" s="1">
        <v>4889.3</v>
      </c>
      <c r="K127">
        <v>0.16</v>
      </c>
      <c r="L127" s="1">
        <v>5849.95</v>
      </c>
      <c r="M127" s="1">
        <v>1406.77</v>
      </c>
      <c r="N127" s="1">
        <v>63.96</v>
      </c>
      <c r="O127" t="s">
        <v>36</v>
      </c>
      <c r="P127">
        <v>1</v>
      </c>
      <c r="Q127" t="b">
        <v>0</v>
      </c>
      <c r="R127" t="s">
        <v>18</v>
      </c>
      <c r="S127">
        <v>6</v>
      </c>
      <c r="T127" t="e">
        <f>IF(#REF!&lt;=25, "Young Age", IF(#REF!&lt;=40, "Mid Age", "Old Age"))</f>
        <v>#REF!</v>
      </c>
      <c r="U127" t="str">
        <f t="shared" si="1"/>
        <v>Delayed</v>
      </c>
    </row>
    <row r="128" spans="1:21" x14ac:dyDescent="0.35">
      <c r="A128" t="s">
        <v>401</v>
      </c>
      <c r="B128" s="13">
        <v>44064</v>
      </c>
      <c r="C128" t="s">
        <v>402</v>
      </c>
      <c r="D128" t="s">
        <v>13</v>
      </c>
      <c r="E128" t="s">
        <v>61</v>
      </c>
      <c r="F128" t="s">
        <v>222</v>
      </c>
      <c r="G128" t="s">
        <v>55</v>
      </c>
      <c r="H128" t="s">
        <v>100</v>
      </c>
      <c r="I128">
        <v>5</v>
      </c>
      <c r="J128" s="1">
        <v>2614.79</v>
      </c>
      <c r="K128">
        <v>0.12</v>
      </c>
      <c r="L128" s="1">
        <v>12884.93</v>
      </c>
      <c r="M128" s="1">
        <v>2796.07</v>
      </c>
      <c r="N128" s="1">
        <v>55.45</v>
      </c>
      <c r="O128" t="s">
        <v>49</v>
      </c>
      <c r="P128">
        <v>4</v>
      </c>
      <c r="Q128" t="b">
        <v>1</v>
      </c>
      <c r="R128" t="s">
        <v>9</v>
      </c>
      <c r="S128">
        <v>9</v>
      </c>
      <c r="T128" t="e">
        <f>IF(#REF!&lt;=25, "Young Age", IF(#REF!&lt;=40, "Mid Age", "Old Age"))</f>
        <v>#REF!</v>
      </c>
      <c r="U128" t="str">
        <f t="shared" si="1"/>
        <v>Over Delayed</v>
      </c>
    </row>
    <row r="129" spans="1:21" x14ac:dyDescent="0.35">
      <c r="A129" t="s">
        <v>403</v>
      </c>
      <c r="B129" s="13">
        <v>43948</v>
      </c>
      <c r="C129" t="s">
        <v>404</v>
      </c>
      <c r="D129" t="s">
        <v>47</v>
      </c>
      <c r="E129" t="s">
        <v>14</v>
      </c>
      <c r="F129" t="s">
        <v>15</v>
      </c>
      <c r="G129" t="s">
        <v>41</v>
      </c>
      <c r="H129" t="s">
        <v>85</v>
      </c>
      <c r="I129">
        <v>7</v>
      </c>
      <c r="J129" s="1">
        <v>257.18</v>
      </c>
      <c r="K129">
        <v>0.28999999999999998</v>
      </c>
      <c r="L129" s="1">
        <v>1452.88</v>
      </c>
      <c r="M129" s="1">
        <v>604.80999999999995</v>
      </c>
      <c r="N129" s="1">
        <v>60.36</v>
      </c>
      <c r="O129" t="s">
        <v>49</v>
      </c>
      <c r="P129">
        <v>1</v>
      </c>
      <c r="Q129" t="b">
        <v>0</v>
      </c>
      <c r="R129" t="s">
        <v>63</v>
      </c>
      <c r="S129">
        <v>5</v>
      </c>
      <c r="T129" t="e">
        <f>IF(#REF!&lt;=25, "Young Age", IF(#REF!&lt;=40, "Mid Age", "Old Age"))</f>
        <v>#REF!</v>
      </c>
      <c r="U129" t="str">
        <f t="shared" si="1"/>
        <v>Delayed</v>
      </c>
    </row>
    <row r="130" spans="1:21" x14ac:dyDescent="0.35">
      <c r="A130" t="s">
        <v>405</v>
      </c>
      <c r="B130" s="13">
        <v>45033</v>
      </c>
      <c r="C130" t="s">
        <v>406</v>
      </c>
      <c r="D130" t="s">
        <v>47</v>
      </c>
      <c r="E130" t="s">
        <v>14</v>
      </c>
      <c r="F130" t="s">
        <v>22</v>
      </c>
      <c r="G130" t="s">
        <v>41</v>
      </c>
      <c r="H130" t="s">
        <v>261</v>
      </c>
      <c r="I130">
        <v>8</v>
      </c>
      <c r="J130" s="1">
        <v>337.73</v>
      </c>
      <c r="K130">
        <v>0.38</v>
      </c>
      <c r="L130" s="1">
        <v>2495.0500000000002</v>
      </c>
      <c r="M130" s="1">
        <v>1142.99</v>
      </c>
      <c r="N130" s="1">
        <v>48.99</v>
      </c>
      <c r="O130" t="s">
        <v>43</v>
      </c>
      <c r="P130">
        <v>5</v>
      </c>
      <c r="Q130" t="b">
        <v>1</v>
      </c>
      <c r="R130" t="s">
        <v>9</v>
      </c>
      <c r="S130">
        <v>6</v>
      </c>
      <c r="T130" t="e">
        <f>IF(#REF!&lt;=25, "Young Age", IF(#REF!&lt;=40, "Mid Age", "Old Age"))</f>
        <v>#REF!</v>
      </c>
      <c r="U130" t="str">
        <f t="shared" ref="U130:U193" si="2">IF(S130 &lt;=4, "Okay", IF(S130 &lt;=7, "Delayed", "Over Delayed"))</f>
        <v>Delayed</v>
      </c>
    </row>
    <row r="131" spans="1:21" x14ac:dyDescent="0.35">
      <c r="A131" t="s">
        <v>407</v>
      </c>
      <c r="B131" s="13">
        <v>44260</v>
      </c>
      <c r="C131" t="s">
        <v>408</v>
      </c>
      <c r="D131" t="s">
        <v>47</v>
      </c>
      <c r="E131" t="s">
        <v>53</v>
      </c>
      <c r="F131" t="s">
        <v>54</v>
      </c>
      <c r="G131" t="s">
        <v>23</v>
      </c>
      <c r="H131" t="s">
        <v>95</v>
      </c>
      <c r="I131">
        <v>6</v>
      </c>
      <c r="J131" s="1">
        <v>29194.28</v>
      </c>
      <c r="K131">
        <v>0.36</v>
      </c>
      <c r="L131" s="1">
        <v>144911.63</v>
      </c>
      <c r="M131" s="1">
        <v>54404.2</v>
      </c>
      <c r="N131" s="1">
        <v>64.14</v>
      </c>
      <c r="O131" t="s">
        <v>49</v>
      </c>
      <c r="P131">
        <v>3</v>
      </c>
      <c r="Q131" t="b">
        <v>0</v>
      </c>
      <c r="R131" t="s">
        <v>18</v>
      </c>
      <c r="S131">
        <v>9</v>
      </c>
      <c r="T131" t="e">
        <f>IF(#REF!&lt;=25, "Young Age", IF(#REF!&lt;=40, "Mid Age", "Old Age"))</f>
        <v>#REF!</v>
      </c>
      <c r="U131" t="str">
        <f t="shared" si="2"/>
        <v>Over Delayed</v>
      </c>
    </row>
    <row r="132" spans="1:21" x14ac:dyDescent="0.35">
      <c r="A132" t="s">
        <v>409</v>
      </c>
      <c r="B132" s="13">
        <v>45428</v>
      </c>
      <c r="C132" t="s">
        <v>410</v>
      </c>
      <c r="D132" t="s">
        <v>13</v>
      </c>
      <c r="E132" t="s">
        <v>14</v>
      </c>
      <c r="F132" t="s">
        <v>15</v>
      </c>
      <c r="G132" t="s">
        <v>105</v>
      </c>
      <c r="H132" t="s">
        <v>174</v>
      </c>
      <c r="I132">
        <v>4</v>
      </c>
      <c r="J132" s="1">
        <v>20489.54</v>
      </c>
      <c r="K132">
        <v>0.01</v>
      </c>
      <c r="L132" s="1">
        <v>161033.98000000001</v>
      </c>
      <c r="M132" s="1">
        <v>22669.85</v>
      </c>
      <c r="N132" s="1">
        <v>73.53</v>
      </c>
      <c r="O132" t="s">
        <v>43</v>
      </c>
      <c r="P132">
        <v>1</v>
      </c>
      <c r="Q132" t="b">
        <v>0</v>
      </c>
      <c r="R132" t="s">
        <v>37</v>
      </c>
      <c r="S132">
        <v>4</v>
      </c>
      <c r="T132" t="e">
        <f>IF(#REF!&lt;=25, "Young Age", IF(#REF!&lt;=40, "Mid Age", "Old Age"))</f>
        <v>#REF!</v>
      </c>
      <c r="U132" t="str">
        <f t="shared" si="2"/>
        <v>Okay</v>
      </c>
    </row>
    <row r="133" spans="1:21" x14ac:dyDescent="0.35">
      <c r="A133" t="s">
        <v>411</v>
      </c>
      <c r="B133" s="13">
        <v>44419</v>
      </c>
      <c r="C133" t="s">
        <v>412</v>
      </c>
      <c r="D133" t="s">
        <v>13</v>
      </c>
      <c r="E133" t="s">
        <v>89</v>
      </c>
      <c r="F133" t="s">
        <v>90</v>
      </c>
      <c r="G133" t="s">
        <v>124</v>
      </c>
      <c r="H133" t="s">
        <v>413</v>
      </c>
      <c r="I133">
        <v>2</v>
      </c>
      <c r="J133" s="1">
        <v>11904.59</v>
      </c>
      <c r="K133">
        <v>0.18</v>
      </c>
      <c r="L133" s="1">
        <v>25494.32</v>
      </c>
      <c r="M133" s="1">
        <v>6649.59</v>
      </c>
      <c r="N133" s="1">
        <v>66.45</v>
      </c>
      <c r="O133" t="s">
        <v>30</v>
      </c>
      <c r="P133">
        <v>5</v>
      </c>
      <c r="Q133" t="b">
        <v>0</v>
      </c>
      <c r="R133" t="s">
        <v>18</v>
      </c>
      <c r="S133">
        <v>2</v>
      </c>
      <c r="T133" t="e">
        <f>IF(#REF!&lt;=25, "Young Age", IF(#REF!&lt;=40, "Mid Age", "Old Age"))</f>
        <v>#REF!</v>
      </c>
      <c r="U133" t="str">
        <f t="shared" si="2"/>
        <v>Okay</v>
      </c>
    </row>
    <row r="134" spans="1:21" x14ac:dyDescent="0.35">
      <c r="A134" t="s">
        <v>414</v>
      </c>
      <c r="B134" s="13">
        <v>44135</v>
      </c>
      <c r="C134" t="s">
        <v>415</v>
      </c>
      <c r="D134" t="s">
        <v>47</v>
      </c>
      <c r="E134" t="s">
        <v>14</v>
      </c>
      <c r="F134" t="s">
        <v>28</v>
      </c>
      <c r="G134" t="s">
        <v>105</v>
      </c>
      <c r="H134" t="s">
        <v>174</v>
      </c>
      <c r="I134">
        <v>5</v>
      </c>
      <c r="J134" s="1">
        <v>49817.06</v>
      </c>
      <c r="K134">
        <v>0.28000000000000003</v>
      </c>
      <c r="L134" s="1">
        <v>167889.68</v>
      </c>
      <c r="M134" s="1">
        <v>16722.18</v>
      </c>
      <c r="N134" s="1">
        <v>42.95</v>
      </c>
      <c r="O134" t="s">
        <v>57</v>
      </c>
      <c r="P134" t="s">
        <v>2149</v>
      </c>
      <c r="Q134" t="b">
        <v>0</v>
      </c>
      <c r="R134" t="s">
        <v>37</v>
      </c>
      <c r="S134">
        <v>3</v>
      </c>
      <c r="T134" t="e">
        <f>IF(#REF!&lt;=25, "Young Age", IF(#REF!&lt;=40, "Mid Age", "Old Age"))</f>
        <v>#REF!</v>
      </c>
      <c r="U134" t="str">
        <f t="shared" si="2"/>
        <v>Okay</v>
      </c>
    </row>
    <row r="135" spans="1:21" x14ac:dyDescent="0.35">
      <c r="A135" t="s">
        <v>416</v>
      </c>
      <c r="B135" s="13">
        <v>45591</v>
      </c>
      <c r="C135" t="s">
        <v>417</v>
      </c>
      <c r="D135" t="s">
        <v>3</v>
      </c>
      <c r="E135" t="s">
        <v>14</v>
      </c>
      <c r="F135" t="s">
        <v>28</v>
      </c>
      <c r="G135" t="s">
        <v>23</v>
      </c>
      <c r="H135" t="s">
        <v>24</v>
      </c>
      <c r="I135">
        <v>4</v>
      </c>
      <c r="J135" s="1">
        <v>10887.68</v>
      </c>
      <c r="K135">
        <v>0.14000000000000001</v>
      </c>
      <c r="L135" s="1">
        <v>46926.73</v>
      </c>
      <c r="M135" s="1">
        <v>14349.22</v>
      </c>
      <c r="N135" s="1">
        <v>57.18</v>
      </c>
      <c r="O135" t="s">
        <v>30</v>
      </c>
      <c r="P135">
        <v>3</v>
      </c>
      <c r="Q135" t="b">
        <v>0</v>
      </c>
      <c r="R135" t="s">
        <v>18</v>
      </c>
      <c r="S135">
        <v>6</v>
      </c>
      <c r="T135" t="e">
        <f>IF(#REF!&lt;=25, "Young Age", IF(#REF!&lt;=40, "Mid Age", "Old Age"))</f>
        <v>#REF!</v>
      </c>
      <c r="U135" t="str">
        <f t="shared" si="2"/>
        <v>Delayed</v>
      </c>
    </row>
    <row r="136" spans="1:21" x14ac:dyDescent="0.35">
      <c r="A136" t="s">
        <v>418</v>
      </c>
      <c r="B136" s="13">
        <v>44713</v>
      </c>
      <c r="C136" t="s">
        <v>419</v>
      </c>
      <c r="D136" t="s">
        <v>13</v>
      </c>
      <c r="E136" t="s">
        <v>53</v>
      </c>
      <c r="F136" t="s">
        <v>170</v>
      </c>
      <c r="G136" t="s">
        <v>55</v>
      </c>
      <c r="H136" t="s">
        <v>56</v>
      </c>
      <c r="I136">
        <v>5</v>
      </c>
      <c r="J136" s="1">
        <v>451.03</v>
      </c>
      <c r="K136">
        <v>0.19</v>
      </c>
      <c r="L136" s="1">
        <v>2632.07</v>
      </c>
      <c r="M136" s="1">
        <v>1165.8900000000001</v>
      </c>
      <c r="N136" s="1">
        <v>23.32</v>
      </c>
      <c r="O136" t="s">
        <v>36</v>
      </c>
      <c r="P136">
        <v>5</v>
      </c>
      <c r="Q136" t="b">
        <v>0</v>
      </c>
      <c r="R136" t="s">
        <v>18</v>
      </c>
      <c r="S136">
        <v>10</v>
      </c>
      <c r="T136" t="e">
        <f>IF(#REF!&lt;=25, "Young Age", IF(#REF!&lt;=40, "Mid Age", "Old Age"))</f>
        <v>#REF!</v>
      </c>
      <c r="U136" t="str">
        <f t="shared" si="2"/>
        <v>Over Delayed</v>
      </c>
    </row>
    <row r="137" spans="1:21" x14ac:dyDescent="0.35">
      <c r="A137" t="s">
        <v>420</v>
      </c>
      <c r="B137" s="13">
        <v>44539</v>
      </c>
      <c r="C137" t="s">
        <v>421</v>
      </c>
      <c r="D137" t="s">
        <v>47</v>
      </c>
      <c r="E137" t="s">
        <v>53</v>
      </c>
      <c r="F137" t="s">
        <v>114</v>
      </c>
      <c r="G137" t="s">
        <v>41</v>
      </c>
      <c r="H137" t="s">
        <v>42</v>
      </c>
      <c r="I137">
        <v>3</v>
      </c>
      <c r="J137" s="1">
        <v>586.88</v>
      </c>
      <c r="K137">
        <v>0.33</v>
      </c>
      <c r="L137" s="1">
        <v>916.67</v>
      </c>
      <c r="M137" s="1">
        <v>373.51</v>
      </c>
      <c r="N137" s="1">
        <v>36.450000000000003</v>
      </c>
      <c r="O137" t="s">
        <v>30</v>
      </c>
      <c r="P137">
        <v>4</v>
      </c>
      <c r="Q137" t="b">
        <v>0</v>
      </c>
      <c r="R137" t="s">
        <v>18</v>
      </c>
      <c r="S137">
        <v>1</v>
      </c>
      <c r="T137" t="e">
        <f>IF(#REF!&lt;=25, "Young Age", IF(#REF!&lt;=40, "Mid Age", "Old Age"))</f>
        <v>#REF!</v>
      </c>
      <c r="U137" t="str">
        <f t="shared" si="2"/>
        <v>Okay</v>
      </c>
    </row>
    <row r="138" spans="1:21" x14ac:dyDescent="0.35">
      <c r="A138" t="s">
        <v>422</v>
      </c>
      <c r="B138" s="13">
        <v>44295</v>
      </c>
      <c r="C138" t="s">
        <v>423</v>
      </c>
      <c r="D138" t="s">
        <v>3</v>
      </c>
      <c r="E138" t="s">
        <v>89</v>
      </c>
      <c r="F138" t="s">
        <v>119</v>
      </c>
      <c r="G138" t="s">
        <v>124</v>
      </c>
      <c r="H138" t="s">
        <v>139</v>
      </c>
      <c r="I138">
        <v>10</v>
      </c>
      <c r="J138" s="1">
        <v>6806.6</v>
      </c>
      <c r="K138">
        <v>0.36</v>
      </c>
      <c r="L138" s="1">
        <v>39614.949999999997</v>
      </c>
      <c r="M138" s="1">
        <v>7458.02</v>
      </c>
      <c r="N138" s="1">
        <v>66.290000000000006</v>
      </c>
      <c r="O138" t="s">
        <v>49</v>
      </c>
      <c r="P138">
        <v>5</v>
      </c>
      <c r="Q138" t="b">
        <v>0</v>
      </c>
      <c r="R138" t="s">
        <v>175</v>
      </c>
      <c r="S138">
        <v>7</v>
      </c>
      <c r="T138" t="e">
        <f>IF(#REF!&lt;=25, "Young Age", IF(#REF!&lt;=40, "Mid Age", "Old Age"))</f>
        <v>#REF!</v>
      </c>
      <c r="U138" t="str">
        <f t="shared" si="2"/>
        <v>Delayed</v>
      </c>
    </row>
    <row r="139" spans="1:21" x14ac:dyDescent="0.35">
      <c r="A139" t="s">
        <v>424</v>
      </c>
      <c r="B139" s="13">
        <v>45261</v>
      </c>
      <c r="C139" t="s">
        <v>425</v>
      </c>
      <c r="D139" t="s">
        <v>13</v>
      </c>
      <c r="E139" t="s">
        <v>14</v>
      </c>
      <c r="F139" t="s">
        <v>15</v>
      </c>
      <c r="G139" t="s">
        <v>55</v>
      </c>
      <c r="H139" t="s">
        <v>185</v>
      </c>
      <c r="I139">
        <v>3</v>
      </c>
      <c r="J139" s="1">
        <v>3608.42</v>
      </c>
      <c r="K139">
        <v>0.28999999999999998</v>
      </c>
      <c r="L139" s="1">
        <v>6927.13</v>
      </c>
      <c r="M139" s="1">
        <v>1997.74</v>
      </c>
      <c r="N139" s="1">
        <v>54.98</v>
      </c>
      <c r="O139" t="s">
        <v>43</v>
      </c>
      <c r="P139">
        <v>5</v>
      </c>
      <c r="Q139" t="b">
        <v>0</v>
      </c>
      <c r="R139" t="s">
        <v>18</v>
      </c>
      <c r="S139">
        <v>9</v>
      </c>
      <c r="T139" t="e">
        <f>IF(#REF!&lt;=25, "Young Age", IF(#REF!&lt;=40, "Mid Age", "Old Age"))</f>
        <v>#REF!</v>
      </c>
      <c r="U139" t="str">
        <f t="shared" si="2"/>
        <v>Over Delayed</v>
      </c>
    </row>
    <row r="140" spans="1:21" x14ac:dyDescent="0.35">
      <c r="A140" t="s">
        <v>426</v>
      </c>
      <c r="B140" s="13">
        <v>44703</v>
      </c>
      <c r="C140" t="s">
        <v>427</v>
      </c>
      <c r="D140" t="s">
        <v>13</v>
      </c>
      <c r="E140" t="s">
        <v>14</v>
      </c>
      <c r="F140" t="s">
        <v>28</v>
      </c>
      <c r="G140" t="s">
        <v>105</v>
      </c>
      <c r="H140" t="s">
        <v>120</v>
      </c>
      <c r="I140">
        <v>2</v>
      </c>
      <c r="J140" s="1">
        <v>72469.02</v>
      </c>
      <c r="K140">
        <v>0.38</v>
      </c>
      <c r="L140" s="1">
        <v>127833.79</v>
      </c>
      <c r="M140" s="1">
        <v>12280.09</v>
      </c>
      <c r="N140" s="1">
        <v>49.21</v>
      </c>
      <c r="O140" t="s">
        <v>36</v>
      </c>
      <c r="P140">
        <v>4</v>
      </c>
      <c r="Q140" t="b">
        <v>0</v>
      </c>
      <c r="R140" t="s">
        <v>63</v>
      </c>
      <c r="S140">
        <v>1</v>
      </c>
      <c r="T140" t="e">
        <f>IF(#REF!&lt;=25, "Young Age", IF(#REF!&lt;=40, "Mid Age", "Old Age"))</f>
        <v>#REF!</v>
      </c>
      <c r="U140" t="str">
        <f t="shared" si="2"/>
        <v>Okay</v>
      </c>
    </row>
    <row r="141" spans="1:21" x14ac:dyDescent="0.35">
      <c r="A141" t="s">
        <v>428</v>
      </c>
      <c r="B141" s="13">
        <v>45297</v>
      </c>
      <c r="C141" t="s">
        <v>429</v>
      </c>
      <c r="D141" t="s">
        <v>3</v>
      </c>
      <c r="E141" t="s">
        <v>14</v>
      </c>
      <c r="F141" t="s">
        <v>84</v>
      </c>
      <c r="G141" t="s">
        <v>105</v>
      </c>
      <c r="H141" t="s">
        <v>149</v>
      </c>
      <c r="I141">
        <v>3</v>
      </c>
      <c r="J141" s="1">
        <v>42514.99</v>
      </c>
      <c r="K141">
        <v>0.06</v>
      </c>
      <c r="L141" s="1">
        <v>111205.03</v>
      </c>
      <c r="M141" s="1">
        <v>13533.76</v>
      </c>
      <c r="N141" s="1">
        <v>59.07</v>
      </c>
      <c r="O141" t="s">
        <v>30</v>
      </c>
      <c r="P141">
        <v>5</v>
      </c>
      <c r="Q141" t="b">
        <v>0</v>
      </c>
      <c r="R141" t="s">
        <v>63</v>
      </c>
      <c r="S141">
        <v>5</v>
      </c>
      <c r="T141" t="e">
        <f>IF(#REF!&lt;=25, "Young Age", IF(#REF!&lt;=40, "Mid Age", "Old Age"))</f>
        <v>#REF!</v>
      </c>
      <c r="U141" t="str">
        <f t="shared" si="2"/>
        <v>Delayed</v>
      </c>
    </row>
    <row r="142" spans="1:21" x14ac:dyDescent="0.35">
      <c r="A142" t="s">
        <v>430</v>
      </c>
      <c r="B142" s="13">
        <v>44069</v>
      </c>
      <c r="C142" t="s">
        <v>431</v>
      </c>
      <c r="D142" t="s">
        <v>3</v>
      </c>
      <c r="E142" t="s">
        <v>61</v>
      </c>
      <c r="F142" t="s">
        <v>62</v>
      </c>
      <c r="G142" t="s">
        <v>16</v>
      </c>
      <c r="H142" t="s">
        <v>209</v>
      </c>
      <c r="J142" s="1">
        <v>1644.33</v>
      </c>
      <c r="K142">
        <v>0.31</v>
      </c>
      <c r="L142" s="1">
        <v>1186.6600000000001</v>
      </c>
      <c r="M142" s="1">
        <v>470.96</v>
      </c>
      <c r="N142" s="1">
        <v>68.12</v>
      </c>
      <c r="O142" t="s">
        <v>43</v>
      </c>
      <c r="P142">
        <v>5</v>
      </c>
      <c r="Q142" t="b">
        <v>1</v>
      </c>
      <c r="R142" t="s">
        <v>9</v>
      </c>
      <c r="S142">
        <v>2</v>
      </c>
      <c r="T142" t="e">
        <f>IF(#REF!&lt;=25, "Young Age", IF(#REF!&lt;=40, "Mid Age", "Old Age"))</f>
        <v>#REF!</v>
      </c>
      <c r="U142" t="str">
        <f t="shared" si="2"/>
        <v>Okay</v>
      </c>
    </row>
    <row r="143" spans="1:21" x14ac:dyDescent="0.35">
      <c r="A143" t="s">
        <v>432</v>
      </c>
      <c r="B143" s="13">
        <v>44672</v>
      </c>
      <c r="C143" t="s">
        <v>433</v>
      </c>
      <c r="D143" t="s">
        <v>47</v>
      </c>
      <c r="E143" t="s">
        <v>14</v>
      </c>
      <c r="F143" t="s">
        <v>84</v>
      </c>
      <c r="G143" t="s">
        <v>41</v>
      </c>
      <c r="H143" t="s">
        <v>85</v>
      </c>
      <c r="I143">
        <v>5</v>
      </c>
      <c r="J143" s="1">
        <v>540.77</v>
      </c>
      <c r="K143">
        <v>0.28000000000000003</v>
      </c>
      <c r="L143" s="1">
        <v>2814.83</v>
      </c>
      <c r="M143" s="1">
        <v>1625.95</v>
      </c>
      <c r="N143" s="1">
        <v>54.23</v>
      </c>
      <c r="O143" t="s">
        <v>30</v>
      </c>
      <c r="P143">
        <v>5</v>
      </c>
      <c r="Q143" t="b">
        <v>0</v>
      </c>
      <c r="R143" t="s">
        <v>18</v>
      </c>
      <c r="S143">
        <v>7</v>
      </c>
      <c r="T143" t="e">
        <f>IF(#REF!&lt;=25, "Young Age", IF(#REF!&lt;=40, "Mid Age", "Old Age"))</f>
        <v>#REF!</v>
      </c>
      <c r="U143" t="str">
        <f t="shared" si="2"/>
        <v>Delayed</v>
      </c>
    </row>
    <row r="144" spans="1:21" x14ac:dyDescent="0.35">
      <c r="A144" t="s">
        <v>434</v>
      </c>
      <c r="B144" s="13">
        <v>44018</v>
      </c>
      <c r="C144" t="s">
        <v>435</v>
      </c>
      <c r="D144" t="s">
        <v>3</v>
      </c>
      <c r="E144" t="s">
        <v>89</v>
      </c>
      <c r="F144" t="s">
        <v>99</v>
      </c>
      <c r="G144" t="s">
        <v>55</v>
      </c>
      <c r="H144" t="s">
        <v>110</v>
      </c>
      <c r="I144">
        <v>2</v>
      </c>
      <c r="J144" s="1">
        <v>539.35</v>
      </c>
      <c r="K144">
        <v>0.23</v>
      </c>
      <c r="L144" s="1">
        <v>1124.22</v>
      </c>
      <c r="M144" s="1">
        <v>289.25</v>
      </c>
      <c r="N144" s="1">
        <v>64.959999999999994</v>
      </c>
      <c r="O144" t="s">
        <v>43</v>
      </c>
      <c r="P144">
        <v>5</v>
      </c>
      <c r="Q144" t="b">
        <v>0</v>
      </c>
      <c r="R144" t="s">
        <v>18</v>
      </c>
      <c r="S144">
        <v>8</v>
      </c>
      <c r="T144" t="e">
        <f>IF(#REF!&lt;=25, "Young Age", IF(#REF!&lt;=40, "Mid Age", "Old Age"))</f>
        <v>#REF!</v>
      </c>
      <c r="U144" t="str">
        <f t="shared" si="2"/>
        <v>Over Delayed</v>
      </c>
    </row>
    <row r="145" spans="1:21" x14ac:dyDescent="0.35">
      <c r="A145" t="s">
        <v>436</v>
      </c>
      <c r="B145" s="13">
        <v>45289</v>
      </c>
      <c r="C145" t="s">
        <v>437</v>
      </c>
      <c r="D145" t="s">
        <v>47</v>
      </c>
      <c r="E145" t="s">
        <v>61</v>
      </c>
      <c r="F145" t="s">
        <v>62</v>
      </c>
      <c r="G145" t="s">
        <v>105</v>
      </c>
      <c r="H145" t="s">
        <v>438</v>
      </c>
      <c r="I145">
        <v>9</v>
      </c>
      <c r="J145" s="1">
        <v>30674.09</v>
      </c>
      <c r="K145">
        <v>0.39</v>
      </c>
      <c r="L145" s="1">
        <v>159421.60999999999</v>
      </c>
      <c r="M145" s="1">
        <v>15597.31</v>
      </c>
      <c r="N145" s="1">
        <v>76.430000000000007</v>
      </c>
      <c r="O145" t="s">
        <v>43</v>
      </c>
      <c r="P145" t="s">
        <v>2149</v>
      </c>
      <c r="Q145" t="b">
        <v>0</v>
      </c>
      <c r="R145" t="s">
        <v>18</v>
      </c>
      <c r="S145">
        <v>2</v>
      </c>
      <c r="T145" t="e">
        <f>IF(#REF!&lt;=25, "Young Age", IF(#REF!&lt;=40, "Mid Age", "Old Age"))</f>
        <v>#REF!</v>
      </c>
      <c r="U145" t="str">
        <f t="shared" si="2"/>
        <v>Okay</v>
      </c>
    </row>
    <row r="146" spans="1:21" x14ac:dyDescent="0.35">
      <c r="A146" t="s">
        <v>439</v>
      </c>
      <c r="B146" s="13">
        <v>44744</v>
      </c>
      <c r="C146" t="s">
        <v>440</v>
      </c>
      <c r="D146" t="s">
        <v>47</v>
      </c>
      <c r="E146" t="s">
        <v>89</v>
      </c>
      <c r="F146" t="s">
        <v>90</v>
      </c>
      <c r="G146" t="s">
        <v>55</v>
      </c>
      <c r="H146" t="s">
        <v>56</v>
      </c>
      <c r="I146">
        <v>8</v>
      </c>
      <c r="J146" s="1">
        <v>3278.48</v>
      </c>
      <c r="K146">
        <v>0</v>
      </c>
      <c r="L146" s="1">
        <v>39736.74</v>
      </c>
      <c r="M146" s="1">
        <v>15719.62</v>
      </c>
      <c r="N146" s="1">
        <v>80.959999999999994</v>
      </c>
      <c r="O146" t="s">
        <v>49</v>
      </c>
      <c r="P146">
        <v>3</v>
      </c>
      <c r="Q146" t="b">
        <v>0</v>
      </c>
      <c r="R146" t="s">
        <v>18</v>
      </c>
      <c r="S146">
        <v>1</v>
      </c>
      <c r="T146" t="e">
        <f>IF(#REF!&lt;=25, "Young Age", IF(#REF!&lt;=40, "Mid Age", "Old Age"))</f>
        <v>#REF!</v>
      </c>
      <c r="U146" t="str">
        <f t="shared" si="2"/>
        <v>Okay</v>
      </c>
    </row>
    <row r="147" spans="1:21" x14ac:dyDescent="0.35">
      <c r="A147" t="s">
        <v>441</v>
      </c>
      <c r="B147" s="13">
        <v>45012</v>
      </c>
      <c r="C147" t="s">
        <v>442</v>
      </c>
      <c r="D147" t="s">
        <v>3</v>
      </c>
      <c r="E147" t="s">
        <v>4</v>
      </c>
      <c r="F147" t="s">
        <v>5</v>
      </c>
      <c r="G147" t="s">
        <v>105</v>
      </c>
      <c r="H147" t="s">
        <v>106</v>
      </c>
      <c r="I147">
        <v>2</v>
      </c>
      <c r="J147" s="1">
        <v>69342.570000000007</v>
      </c>
      <c r="K147">
        <v>0.08</v>
      </c>
      <c r="L147" s="1">
        <v>154630.39000000001</v>
      </c>
      <c r="M147" s="1">
        <v>18946.95</v>
      </c>
      <c r="N147" s="1">
        <v>47.74</v>
      </c>
      <c r="O147" t="s">
        <v>36</v>
      </c>
      <c r="P147">
        <v>2</v>
      </c>
      <c r="Q147" t="b">
        <v>0</v>
      </c>
      <c r="R147" t="s">
        <v>18</v>
      </c>
      <c r="S147">
        <v>6</v>
      </c>
      <c r="T147" t="e">
        <f>IF(#REF!&lt;=25, "Young Age", IF(#REF!&lt;=40, "Mid Age", "Old Age"))</f>
        <v>#REF!</v>
      </c>
      <c r="U147" t="str">
        <f t="shared" si="2"/>
        <v>Delayed</v>
      </c>
    </row>
    <row r="148" spans="1:21" x14ac:dyDescent="0.35">
      <c r="A148" t="s">
        <v>443</v>
      </c>
      <c r="B148" s="13">
        <v>43858</v>
      </c>
      <c r="C148" t="s">
        <v>444</v>
      </c>
      <c r="D148" t="s">
        <v>13</v>
      </c>
      <c r="E148" t="s">
        <v>53</v>
      </c>
      <c r="F148" t="s">
        <v>114</v>
      </c>
      <c r="G148" t="s">
        <v>124</v>
      </c>
      <c r="H148" t="s">
        <v>125</v>
      </c>
      <c r="I148">
        <v>4</v>
      </c>
      <c r="J148" s="1">
        <v>12945.28</v>
      </c>
      <c r="K148">
        <v>0.13</v>
      </c>
      <c r="L148" s="1">
        <v>31129.56</v>
      </c>
      <c r="M148" s="1">
        <v>7042.29</v>
      </c>
      <c r="N148" s="1">
        <v>65.38</v>
      </c>
      <c r="O148" t="s">
        <v>49</v>
      </c>
      <c r="P148">
        <v>5</v>
      </c>
      <c r="Q148" t="b">
        <v>0</v>
      </c>
      <c r="R148" t="s">
        <v>18</v>
      </c>
      <c r="S148">
        <v>4</v>
      </c>
      <c r="T148" t="e">
        <f>IF(#REF!&lt;=25, "Young Age", IF(#REF!&lt;=40, "Mid Age", "Old Age"))</f>
        <v>#REF!</v>
      </c>
      <c r="U148" t="str">
        <f t="shared" si="2"/>
        <v>Okay</v>
      </c>
    </row>
    <row r="149" spans="1:21" x14ac:dyDescent="0.35">
      <c r="A149" t="s">
        <v>445</v>
      </c>
      <c r="B149" s="13">
        <v>44914</v>
      </c>
      <c r="C149" t="s">
        <v>446</v>
      </c>
      <c r="D149" t="s">
        <v>13</v>
      </c>
      <c r="E149" t="s">
        <v>61</v>
      </c>
      <c r="F149" t="s">
        <v>271</v>
      </c>
      <c r="G149" t="s">
        <v>23</v>
      </c>
      <c r="H149" t="s">
        <v>164</v>
      </c>
      <c r="I149">
        <v>5</v>
      </c>
      <c r="J149" s="1">
        <v>29767.34</v>
      </c>
      <c r="K149">
        <v>0.16</v>
      </c>
      <c r="L149" s="1">
        <v>92126.76</v>
      </c>
      <c r="M149" s="1">
        <v>24089.4</v>
      </c>
      <c r="N149" s="1">
        <v>72.23</v>
      </c>
      <c r="O149" t="s">
        <v>43</v>
      </c>
      <c r="P149">
        <v>3</v>
      </c>
      <c r="Q149" t="b">
        <v>0</v>
      </c>
      <c r="R149" t="s">
        <v>63</v>
      </c>
      <c r="S149">
        <v>6</v>
      </c>
      <c r="T149" t="e">
        <f>IF(#REF!&lt;=25, "Young Age", IF(#REF!&lt;=40, "Mid Age", "Old Age"))</f>
        <v>#REF!</v>
      </c>
      <c r="U149" t="str">
        <f t="shared" si="2"/>
        <v>Delayed</v>
      </c>
    </row>
    <row r="150" spans="1:21" x14ac:dyDescent="0.35">
      <c r="A150" t="s">
        <v>447</v>
      </c>
      <c r="B150" s="13">
        <v>45200</v>
      </c>
      <c r="C150" t="s">
        <v>448</v>
      </c>
      <c r="D150" t="s">
        <v>13</v>
      </c>
      <c r="E150" t="s">
        <v>53</v>
      </c>
      <c r="F150" t="s">
        <v>170</v>
      </c>
      <c r="G150" t="s">
        <v>124</v>
      </c>
      <c r="H150" t="s">
        <v>156</v>
      </c>
      <c r="I150">
        <v>3</v>
      </c>
      <c r="J150" s="1">
        <v>14810.59</v>
      </c>
      <c r="K150">
        <v>0.08</v>
      </c>
      <c r="L150" s="1">
        <v>44578.62</v>
      </c>
      <c r="M150" s="1">
        <v>10260.620000000001</v>
      </c>
      <c r="N150" s="1">
        <v>65.69</v>
      </c>
      <c r="O150" t="s">
        <v>43</v>
      </c>
      <c r="P150">
        <v>3</v>
      </c>
      <c r="Q150" t="b">
        <v>0</v>
      </c>
      <c r="R150" t="s">
        <v>18</v>
      </c>
      <c r="S150">
        <v>5</v>
      </c>
      <c r="T150" t="e">
        <f>IF(#REF!&lt;=25, "Young Age", IF(#REF!&lt;=40, "Mid Age", "Old Age"))</f>
        <v>#REF!</v>
      </c>
      <c r="U150" t="str">
        <f t="shared" si="2"/>
        <v>Delayed</v>
      </c>
    </row>
    <row r="151" spans="1:21" x14ac:dyDescent="0.35">
      <c r="A151" t="s">
        <v>449</v>
      </c>
      <c r="B151" s="13">
        <v>45557</v>
      </c>
      <c r="C151" t="s">
        <v>450</v>
      </c>
      <c r="D151" t="s">
        <v>13</v>
      </c>
      <c r="E151" t="s">
        <v>61</v>
      </c>
      <c r="F151" t="s">
        <v>222</v>
      </c>
      <c r="G151" t="s">
        <v>16</v>
      </c>
      <c r="H151" t="s">
        <v>17</v>
      </c>
      <c r="I151">
        <v>4</v>
      </c>
      <c r="J151" s="1">
        <v>2333.1</v>
      </c>
      <c r="K151">
        <v>0.22</v>
      </c>
      <c r="L151" s="1">
        <v>11296.75</v>
      </c>
      <c r="M151" s="1">
        <v>4828.37</v>
      </c>
      <c r="N151" s="1">
        <v>72.08</v>
      </c>
      <c r="O151" t="s">
        <v>57</v>
      </c>
      <c r="P151">
        <v>3</v>
      </c>
      <c r="Q151" t="b">
        <v>1</v>
      </c>
      <c r="R151" t="s">
        <v>9</v>
      </c>
      <c r="S151">
        <v>10</v>
      </c>
      <c r="T151" t="e">
        <f>IF(#REF!&lt;=25, "Young Age", IF(#REF!&lt;=40, "Mid Age", "Old Age"))</f>
        <v>#REF!</v>
      </c>
      <c r="U151" t="str">
        <f t="shared" si="2"/>
        <v>Over Delayed</v>
      </c>
    </row>
    <row r="152" spans="1:21" x14ac:dyDescent="0.35">
      <c r="A152" t="s">
        <v>451</v>
      </c>
      <c r="B152" s="13">
        <v>44818</v>
      </c>
      <c r="C152" t="s">
        <v>452</v>
      </c>
      <c r="D152" t="s">
        <v>13</v>
      </c>
      <c r="E152" t="s">
        <v>89</v>
      </c>
      <c r="F152" t="s">
        <v>119</v>
      </c>
      <c r="G152" t="s">
        <v>124</v>
      </c>
      <c r="H152" t="s">
        <v>139</v>
      </c>
      <c r="I152">
        <v>2</v>
      </c>
      <c r="J152" s="1">
        <v>13833.36</v>
      </c>
      <c r="K152">
        <v>0.06</v>
      </c>
      <c r="L152" s="1">
        <v>30150.799999999999</v>
      </c>
      <c r="M152" s="1">
        <v>8534.61</v>
      </c>
      <c r="N152" s="1">
        <v>40.57</v>
      </c>
      <c r="O152" t="s">
        <v>36</v>
      </c>
      <c r="P152" t="s">
        <v>2149</v>
      </c>
      <c r="Q152" t="b">
        <v>0</v>
      </c>
      <c r="R152" t="s">
        <v>18</v>
      </c>
      <c r="S152">
        <v>8</v>
      </c>
      <c r="T152" t="e">
        <f>IF(#REF!&lt;=25, "Young Age", IF(#REF!&lt;=40, "Mid Age", "Old Age"))</f>
        <v>#REF!</v>
      </c>
      <c r="U152" t="str">
        <f t="shared" si="2"/>
        <v>Over Delayed</v>
      </c>
    </row>
    <row r="153" spans="1:21" x14ac:dyDescent="0.35">
      <c r="A153" t="s">
        <v>453</v>
      </c>
      <c r="B153" s="13">
        <v>44519</v>
      </c>
      <c r="C153" t="s">
        <v>454</v>
      </c>
      <c r="D153" t="s">
        <v>3</v>
      </c>
      <c r="E153" t="s">
        <v>4</v>
      </c>
      <c r="F153" t="s">
        <v>34</v>
      </c>
      <c r="G153" t="s">
        <v>23</v>
      </c>
      <c r="H153" t="s">
        <v>95</v>
      </c>
      <c r="I153">
        <v>5</v>
      </c>
      <c r="J153" s="1">
        <v>9804.75</v>
      </c>
      <c r="K153">
        <v>0.09</v>
      </c>
      <c r="L153" s="1">
        <v>36117.01</v>
      </c>
      <c r="M153" s="1">
        <v>8077.49</v>
      </c>
      <c r="N153" s="1">
        <v>70.12</v>
      </c>
      <c r="O153" t="s">
        <v>57</v>
      </c>
      <c r="P153">
        <v>1</v>
      </c>
      <c r="Q153" t="b">
        <v>0</v>
      </c>
      <c r="R153" t="s">
        <v>18</v>
      </c>
      <c r="S153">
        <v>5</v>
      </c>
      <c r="T153" t="e">
        <f>IF(#REF!&lt;=25, "Young Age", IF(#REF!&lt;=40, "Mid Age", "Old Age"))</f>
        <v>#REF!</v>
      </c>
      <c r="U153" t="str">
        <f t="shared" si="2"/>
        <v>Delayed</v>
      </c>
    </row>
    <row r="154" spans="1:21" x14ac:dyDescent="0.35">
      <c r="A154" t="s">
        <v>455</v>
      </c>
      <c r="B154" s="13">
        <v>44926</v>
      </c>
      <c r="C154" t="s">
        <v>456</v>
      </c>
      <c r="D154" t="s">
        <v>13</v>
      </c>
      <c r="E154" t="s">
        <v>14</v>
      </c>
      <c r="F154" t="s">
        <v>84</v>
      </c>
      <c r="G154" t="s">
        <v>41</v>
      </c>
      <c r="H154" t="s">
        <v>261</v>
      </c>
      <c r="I154">
        <v>3</v>
      </c>
      <c r="J154" s="1">
        <v>1379.58</v>
      </c>
      <c r="K154">
        <v>0.06</v>
      </c>
      <c r="L154" s="1">
        <v>3040.53</v>
      </c>
      <c r="M154" s="1">
        <v>976.28</v>
      </c>
      <c r="N154" s="1">
        <v>64.67</v>
      </c>
      <c r="O154" t="s">
        <v>36</v>
      </c>
      <c r="P154">
        <v>4</v>
      </c>
      <c r="Q154" t="b">
        <v>0</v>
      </c>
      <c r="R154" t="s">
        <v>115</v>
      </c>
      <c r="S154">
        <v>4</v>
      </c>
      <c r="T154" t="e">
        <f>IF(#REF!&lt;=25, "Young Age", IF(#REF!&lt;=40, "Mid Age", "Old Age"))</f>
        <v>#REF!</v>
      </c>
      <c r="U154" t="str">
        <f t="shared" si="2"/>
        <v>Okay</v>
      </c>
    </row>
    <row r="155" spans="1:21" x14ac:dyDescent="0.35">
      <c r="A155" t="s">
        <v>457</v>
      </c>
      <c r="B155" s="13">
        <v>44850</v>
      </c>
      <c r="C155" t="s">
        <v>458</v>
      </c>
      <c r="D155" t="s">
        <v>13</v>
      </c>
      <c r="E155" t="s">
        <v>89</v>
      </c>
      <c r="F155" t="s">
        <v>119</v>
      </c>
      <c r="G155" t="s">
        <v>23</v>
      </c>
      <c r="H155" t="s">
        <v>95</v>
      </c>
      <c r="I155">
        <v>8</v>
      </c>
      <c r="J155" s="1">
        <v>33543.43</v>
      </c>
      <c r="K155">
        <v>0.22</v>
      </c>
      <c r="L155" s="1">
        <v>218733.7</v>
      </c>
      <c r="M155" s="1">
        <v>59861.82</v>
      </c>
      <c r="N155" s="1">
        <v>56.8</v>
      </c>
      <c r="O155" t="s">
        <v>30</v>
      </c>
      <c r="P155">
        <v>2</v>
      </c>
      <c r="Q155" t="b">
        <v>0</v>
      </c>
      <c r="R155" t="s">
        <v>18</v>
      </c>
      <c r="S155">
        <v>8</v>
      </c>
      <c r="T155" t="e">
        <f>IF(#REF!&lt;=25, "Young Age", IF(#REF!&lt;=40, "Mid Age", "Old Age"))</f>
        <v>#REF!</v>
      </c>
      <c r="U155" t="str">
        <f t="shared" si="2"/>
        <v>Over Delayed</v>
      </c>
    </row>
    <row r="156" spans="1:21" x14ac:dyDescent="0.35">
      <c r="A156" t="s">
        <v>459</v>
      </c>
      <c r="B156" s="13">
        <v>45401</v>
      </c>
      <c r="C156" t="s">
        <v>460</v>
      </c>
      <c r="D156" t="s">
        <v>47</v>
      </c>
      <c r="E156" t="s">
        <v>89</v>
      </c>
      <c r="F156" t="s">
        <v>99</v>
      </c>
      <c r="G156" t="s">
        <v>16</v>
      </c>
      <c r="H156" t="s">
        <v>390</v>
      </c>
      <c r="I156">
        <v>6</v>
      </c>
      <c r="J156" s="1">
        <v>1423.12</v>
      </c>
      <c r="K156">
        <v>0.11</v>
      </c>
      <c r="L156" s="1">
        <v>10606.52</v>
      </c>
      <c r="M156" s="1">
        <v>4315.91</v>
      </c>
      <c r="N156" s="1">
        <v>75.2</v>
      </c>
      <c r="O156" t="s">
        <v>43</v>
      </c>
      <c r="P156">
        <v>4</v>
      </c>
      <c r="Q156" t="b">
        <v>1</v>
      </c>
      <c r="R156" t="s">
        <v>9</v>
      </c>
      <c r="S156">
        <v>4</v>
      </c>
      <c r="T156" t="e">
        <f>IF(#REF!&lt;=25, "Young Age", IF(#REF!&lt;=40, "Mid Age", "Old Age"))</f>
        <v>#REF!</v>
      </c>
      <c r="U156" t="str">
        <f t="shared" si="2"/>
        <v>Okay</v>
      </c>
    </row>
    <row r="157" spans="1:21" x14ac:dyDescent="0.35">
      <c r="A157" t="s">
        <v>461</v>
      </c>
      <c r="B157" s="13">
        <v>44655</v>
      </c>
      <c r="C157" t="s">
        <v>462</v>
      </c>
      <c r="D157" t="s">
        <v>47</v>
      </c>
      <c r="E157" t="s">
        <v>61</v>
      </c>
      <c r="F157" t="s">
        <v>271</v>
      </c>
      <c r="G157" t="s">
        <v>105</v>
      </c>
      <c r="H157" t="s">
        <v>174</v>
      </c>
      <c r="I157">
        <v>8</v>
      </c>
      <c r="J157" s="1">
        <v>64439.74</v>
      </c>
      <c r="K157">
        <v>0.23</v>
      </c>
      <c r="L157" s="1">
        <v>542100.67000000004</v>
      </c>
      <c r="M157" s="1">
        <v>80671.009999999995</v>
      </c>
      <c r="N157" s="1">
        <v>103.41</v>
      </c>
      <c r="O157" t="s">
        <v>8</v>
      </c>
      <c r="P157">
        <v>1</v>
      </c>
      <c r="Q157" t="b">
        <v>0</v>
      </c>
      <c r="R157" t="s">
        <v>18</v>
      </c>
      <c r="S157">
        <v>3</v>
      </c>
      <c r="T157" t="e">
        <f>IF(#REF!&lt;=25, "Young Age", IF(#REF!&lt;=40, "Mid Age", "Old Age"))</f>
        <v>#REF!</v>
      </c>
      <c r="U157" t="str">
        <f t="shared" si="2"/>
        <v>Okay</v>
      </c>
    </row>
    <row r="158" spans="1:21" x14ac:dyDescent="0.35">
      <c r="A158" t="s">
        <v>463</v>
      </c>
      <c r="B158" s="13">
        <v>44231</v>
      </c>
      <c r="C158" t="s">
        <v>464</v>
      </c>
      <c r="D158" t="s">
        <v>13</v>
      </c>
      <c r="E158" t="s">
        <v>89</v>
      </c>
      <c r="F158" t="s">
        <v>119</v>
      </c>
      <c r="G158" t="s">
        <v>105</v>
      </c>
      <c r="H158" t="s">
        <v>282</v>
      </c>
      <c r="I158">
        <v>10</v>
      </c>
      <c r="J158" s="1">
        <v>72812.39</v>
      </c>
      <c r="K158">
        <v>0.28999999999999998</v>
      </c>
      <c r="L158" s="1">
        <v>520084.41</v>
      </c>
      <c r="M158" s="1">
        <v>94437.03</v>
      </c>
      <c r="N158" s="1">
        <v>76.77</v>
      </c>
      <c r="O158" t="s">
        <v>36</v>
      </c>
      <c r="P158">
        <v>2</v>
      </c>
      <c r="Q158" t="b">
        <v>1</v>
      </c>
      <c r="R158" t="s">
        <v>9</v>
      </c>
      <c r="S158">
        <v>10</v>
      </c>
      <c r="T158" t="e">
        <f>IF(#REF!&lt;=25, "Young Age", IF(#REF!&lt;=40, "Mid Age", "Old Age"))</f>
        <v>#REF!</v>
      </c>
      <c r="U158" t="str">
        <f t="shared" si="2"/>
        <v>Over Delayed</v>
      </c>
    </row>
    <row r="159" spans="1:21" x14ac:dyDescent="0.35">
      <c r="A159" t="s">
        <v>465</v>
      </c>
      <c r="B159" s="13">
        <v>44376</v>
      </c>
      <c r="C159" t="s">
        <v>466</v>
      </c>
      <c r="D159" t="s">
        <v>13</v>
      </c>
      <c r="E159" t="s">
        <v>89</v>
      </c>
      <c r="F159" t="s">
        <v>299</v>
      </c>
      <c r="G159" t="s">
        <v>23</v>
      </c>
      <c r="H159" t="s">
        <v>95</v>
      </c>
      <c r="I159">
        <v>6</v>
      </c>
      <c r="J159" s="1">
        <v>3208.32</v>
      </c>
      <c r="K159">
        <v>0.25</v>
      </c>
      <c r="L159" s="1">
        <v>24685.74</v>
      </c>
      <c r="M159" s="1">
        <v>5146.1000000000004</v>
      </c>
      <c r="N159" s="1">
        <v>81.25</v>
      </c>
      <c r="O159" t="s">
        <v>57</v>
      </c>
      <c r="P159">
        <v>4</v>
      </c>
      <c r="Q159" t="b">
        <v>0</v>
      </c>
      <c r="R159" t="s">
        <v>37</v>
      </c>
      <c r="S159">
        <v>0</v>
      </c>
      <c r="T159" t="e">
        <f>IF(#REF!&lt;=25, "Young Age", IF(#REF!&lt;=40, "Mid Age", "Old Age"))</f>
        <v>#REF!</v>
      </c>
      <c r="U159" t="str">
        <f t="shared" si="2"/>
        <v>Okay</v>
      </c>
    </row>
    <row r="160" spans="1:21" x14ac:dyDescent="0.35">
      <c r="A160" t="s">
        <v>467</v>
      </c>
      <c r="B160" s="13">
        <v>45030</v>
      </c>
      <c r="C160" t="s">
        <v>468</v>
      </c>
      <c r="D160" t="s">
        <v>13</v>
      </c>
      <c r="E160" t="s">
        <v>61</v>
      </c>
      <c r="F160" t="s">
        <v>271</v>
      </c>
      <c r="G160" t="s">
        <v>16</v>
      </c>
      <c r="H160" t="s">
        <v>17</v>
      </c>
      <c r="I160">
        <v>8</v>
      </c>
      <c r="J160" s="1">
        <v>415.72</v>
      </c>
      <c r="K160">
        <v>0.01</v>
      </c>
      <c r="L160" s="1">
        <v>4769.26</v>
      </c>
      <c r="M160" s="1">
        <v>1796.21</v>
      </c>
      <c r="N160" s="1">
        <v>54.55</v>
      </c>
      <c r="O160" t="s">
        <v>30</v>
      </c>
      <c r="P160">
        <v>3</v>
      </c>
      <c r="Q160" t="b">
        <v>0</v>
      </c>
      <c r="R160" t="s">
        <v>175</v>
      </c>
      <c r="S160">
        <v>5</v>
      </c>
      <c r="T160" t="e">
        <f>IF(#REF!&lt;=25, "Young Age", IF(#REF!&lt;=40, "Mid Age", "Old Age"))</f>
        <v>#REF!</v>
      </c>
      <c r="U160" t="str">
        <f t="shared" si="2"/>
        <v>Delayed</v>
      </c>
    </row>
    <row r="161" spans="1:21" x14ac:dyDescent="0.35">
      <c r="A161" t="s">
        <v>469</v>
      </c>
      <c r="B161" s="13">
        <v>44095</v>
      </c>
      <c r="C161" t="s">
        <v>470</v>
      </c>
      <c r="D161" t="s">
        <v>47</v>
      </c>
      <c r="E161" t="s">
        <v>89</v>
      </c>
      <c r="F161" t="s">
        <v>299</v>
      </c>
      <c r="G161" t="s">
        <v>6</v>
      </c>
      <c r="H161" t="s">
        <v>374</v>
      </c>
      <c r="I161">
        <v>1</v>
      </c>
      <c r="J161" s="1">
        <v>389.24</v>
      </c>
      <c r="K161">
        <v>0.23</v>
      </c>
      <c r="L161" s="1">
        <v>313.86</v>
      </c>
      <c r="M161" s="1">
        <v>22.71</v>
      </c>
      <c r="N161" s="1">
        <v>66.8</v>
      </c>
      <c r="O161" t="s">
        <v>36</v>
      </c>
      <c r="P161">
        <v>5</v>
      </c>
      <c r="Q161" t="b">
        <v>0</v>
      </c>
      <c r="R161" t="s">
        <v>175</v>
      </c>
      <c r="S161">
        <v>10</v>
      </c>
      <c r="T161" t="e">
        <f>IF(#REF!&lt;=25, "Young Age", IF(#REF!&lt;=40, "Mid Age", "Old Age"))</f>
        <v>#REF!</v>
      </c>
      <c r="U161" t="str">
        <f t="shared" si="2"/>
        <v>Over Delayed</v>
      </c>
    </row>
    <row r="162" spans="1:21" x14ac:dyDescent="0.35">
      <c r="A162" t="s">
        <v>471</v>
      </c>
      <c r="B162" s="13">
        <v>45474</v>
      </c>
      <c r="C162" t="s">
        <v>472</v>
      </c>
      <c r="D162" t="s">
        <v>47</v>
      </c>
      <c r="E162" t="s">
        <v>53</v>
      </c>
      <c r="F162" t="s">
        <v>79</v>
      </c>
      <c r="G162" t="s">
        <v>41</v>
      </c>
      <c r="H162" t="s">
        <v>42</v>
      </c>
      <c r="J162" s="1">
        <v>1486.09</v>
      </c>
      <c r="K162">
        <v>0.11</v>
      </c>
      <c r="L162" s="1">
        <v>1967.1</v>
      </c>
      <c r="M162" s="1">
        <v>719.18</v>
      </c>
      <c r="N162" s="1">
        <v>43.92</v>
      </c>
      <c r="O162" t="s">
        <v>43</v>
      </c>
      <c r="P162">
        <v>1</v>
      </c>
      <c r="Q162" t="b">
        <v>0</v>
      </c>
      <c r="R162" t="s">
        <v>18</v>
      </c>
      <c r="S162">
        <v>1</v>
      </c>
      <c r="T162" t="e">
        <f>IF(#REF!&lt;=25, "Young Age", IF(#REF!&lt;=40, "Mid Age", "Old Age"))</f>
        <v>#REF!</v>
      </c>
      <c r="U162" t="str">
        <f t="shared" si="2"/>
        <v>Okay</v>
      </c>
    </row>
    <row r="163" spans="1:21" x14ac:dyDescent="0.35">
      <c r="A163" t="s">
        <v>473</v>
      </c>
      <c r="B163" s="13">
        <v>45330</v>
      </c>
      <c r="C163" t="s">
        <v>474</v>
      </c>
      <c r="D163" t="s">
        <v>13</v>
      </c>
      <c r="E163" t="s">
        <v>61</v>
      </c>
      <c r="F163" t="s">
        <v>271</v>
      </c>
      <c r="G163" t="s">
        <v>105</v>
      </c>
      <c r="H163" t="s">
        <v>282</v>
      </c>
      <c r="I163">
        <v>4</v>
      </c>
      <c r="J163" s="1">
        <v>15346.11</v>
      </c>
      <c r="K163">
        <v>0.06</v>
      </c>
      <c r="L163" s="1">
        <v>67060.7</v>
      </c>
      <c r="M163" s="1">
        <v>9998.89</v>
      </c>
      <c r="N163" s="1">
        <v>93.55</v>
      </c>
      <c r="O163" t="s">
        <v>43</v>
      </c>
      <c r="P163">
        <v>2</v>
      </c>
      <c r="Q163" t="b">
        <v>0</v>
      </c>
      <c r="R163" t="s">
        <v>18</v>
      </c>
      <c r="S163">
        <v>6</v>
      </c>
      <c r="T163" t="e">
        <f>IF(#REF!&lt;=25, "Young Age", IF(#REF!&lt;=40, "Mid Age", "Old Age"))</f>
        <v>#REF!</v>
      </c>
      <c r="U163" t="str">
        <f t="shared" si="2"/>
        <v>Delayed</v>
      </c>
    </row>
    <row r="164" spans="1:21" x14ac:dyDescent="0.35">
      <c r="A164" t="s">
        <v>475</v>
      </c>
      <c r="B164" s="13">
        <v>45477</v>
      </c>
      <c r="C164" t="s">
        <v>476</v>
      </c>
      <c r="D164" t="s">
        <v>13</v>
      </c>
      <c r="E164" t="s">
        <v>4</v>
      </c>
      <c r="F164" t="s">
        <v>5</v>
      </c>
      <c r="G164" t="s">
        <v>41</v>
      </c>
      <c r="H164" t="s">
        <v>477</v>
      </c>
      <c r="I164">
        <v>8</v>
      </c>
      <c r="J164" s="1">
        <v>1499.77</v>
      </c>
      <c r="K164">
        <v>0.37</v>
      </c>
      <c r="L164" s="1">
        <v>11632.7</v>
      </c>
      <c r="M164" s="1">
        <v>4863.95</v>
      </c>
      <c r="N164" s="1">
        <v>68.319999999999993</v>
      </c>
      <c r="O164" t="s">
        <v>57</v>
      </c>
      <c r="P164">
        <v>5</v>
      </c>
      <c r="Q164" t="b">
        <v>0</v>
      </c>
      <c r="R164" t="s">
        <v>18</v>
      </c>
      <c r="S164" t="s">
        <v>2149</v>
      </c>
      <c r="T164" t="e">
        <f>IF(#REF!&lt;=25, "Young Age", IF(#REF!&lt;=40, "Mid Age", "Old Age"))</f>
        <v>#REF!</v>
      </c>
      <c r="U164" t="str">
        <f t="shared" si="2"/>
        <v>Over Delayed</v>
      </c>
    </row>
    <row r="165" spans="1:21" x14ac:dyDescent="0.35">
      <c r="A165" t="s">
        <v>478</v>
      </c>
      <c r="B165" s="13">
        <v>44297</v>
      </c>
      <c r="C165" t="s">
        <v>479</v>
      </c>
      <c r="D165" t="s">
        <v>13</v>
      </c>
      <c r="E165" t="s">
        <v>89</v>
      </c>
      <c r="F165" t="s">
        <v>99</v>
      </c>
      <c r="G165" t="s">
        <v>41</v>
      </c>
      <c r="H165" t="s">
        <v>244</v>
      </c>
      <c r="I165">
        <v>9</v>
      </c>
      <c r="J165" s="1">
        <v>816.35</v>
      </c>
      <c r="K165">
        <v>0.12</v>
      </c>
      <c r="L165" s="1">
        <v>7711.33</v>
      </c>
      <c r="M165" s="1">
        <v>3255</v>
      </c>
      <c r="N165" s="1">
        <v>81.14</v>
      </c>
      <c r="O165" t="s">
        <v>57</v>
      </c>
      <c r="P165">
        <v>5</v>
      </c>
      <c r="Q165" t="b">
        <v>1</v>
      </c>
      <c r="R165" t="s">
        <v>9</v>
      </c>
      <c r="S165">
        <v>3</v>
      </c>
      <c r="T165" t="e">
        <f>IF(#REF!&lt;=25, "Young Age", IF(#REF!&lt;=40, "Mid Age", "Old Age"))</f>
        <v>#REF!</v>
      </c>
      <c r="U165" t="str">
        <f t="shared" si="2"/>
        <v>Okay</v>
      </c>
    </row>
    <row r="166" spans="1:21" x14ac:dyDescent="0.35">
      <c r="A166" t="s">
        <v>480</v>
      </c>
      <c r="B166" s="13" t="s">
        <v>481</v>
      </c>
      <c r="C166" t="s">
        <v>482</v>
      </c>
      <c r="D166" t="s">
        <v>13</v>
      </c>
      <c r="E166" t="s">
        <v>61</v>
      </c>
      <c r="F166" t="s">
        <v>222</v>
      </c>
      <c r="G166" t="s">
        <v>124</v>
      </c>
      <c r="H166" t="s">
        <v>125</v>
      </c>
      <c r="I166">
        <v>7</v>
      </c>
      <c r="J166" s="1">
        <v>12597.24</v>
      </c>
      <c r="K166">
        <v>0.11</v>
      </c>
      <c r="L166" s="1">
        <v>77124.12</v>
      </c>
      <c r="M166" s="1">
        <v>20197.939999999999</v>
      </c>
      <c r="N166" s="1">
        <v>79.69</v>
      </c>
      <c r="O166" t="s">
        <v>36</v>
      </c>
      <c r="P166">
        <v>4</v>
      </c>
      <c r="Q166" t="b">
        <v>0</v>
      </c>
      <c r="R166" t="s">
        <v>18</v>
      </c>
      <c r="S166">
        <v>8</v>
      </c>
      <c r="T166" t="e">
        <f>IF(#REF!&lt;=25, "Young Age", IF(#REF!&lt;=40, "Mid Age", "Old Age"))</f>
        <v>#REF!</v>
      </c>
      <c r="U166" t="str">
        <f t="shared" si="2"/>
        <v>Over Delayed</v>
      </c>
    </row>
    <row r="167" spans="1:21" x14ac:dyDescent="0.35">
      <c r="A167" t="s">
        <v>483</v>
      </c>
      <c r="B167" s="13">
        <v>45242</v>
      </c>
      <c r="C167" t="s">
        <v>484</v>
      </c>
      <c r="D167" t="s">
        <v>13</v>
      </c>
      <c r="E167" t="s">
        <v>14</v>
      </c>
      <c r="F167" t="s">
        <v>84</v>
      </c>
      <c r="G167" t="s">
        <v>55</v>
      </c>
      <c r="H167" t="s">
        <v>185</v>
      </c>
      <c r="I167">
        <v>3</v>
      </c>
      <c r="J167" s="1">
        <v>1850.1</v>
      </c>
      <c r="K167">
        <v>0.03</v>
      </c>
      <c r="L167" s="1">
        <v>4811.57</v>
      </c>
      <c r="M167" s="1">
        <v>1286.23</v>
      </c>
      <c r="N167" s="1">
        <v>78.13</v>
      </c>
      <c r="O167" t="s">
        <v>30</v>
      </c>
      <c r="P167">
        <v>2</v>
      </c>
      <c r="Q167" t="b">
        <v>0</v>
      </c>
      <c r="R167" t="s">
        <v>18</v>
      </c>
      <c r="S167">
        <v>10</v>
      </c>
      <c r="T167" t="e">
        <f>IF(#REF!&lt;=25, "Young Age", IF(#REF!&lt;=40, "Mid Age", "Old Age"))</f>
        <v>#REF!</v>
      </c>
      <c r="U167" t="str">
        <f t="shared" si="2"/>
        <v>Over Delayed</v>
      </c>
    </row>
    <row r="168" spans="1:21" x14ac:dyDescent="0.35">
      <c r="A168" t="s">
        <v>485</v>
      </c>
      <c r="B168" s="13">
        <v>45196</v>
      </c>
      <c r="C168" t="s">
        <v>486</v>
      </c>
      <c r="D168" t="s">
        <v>47</v>
      </c>
      <c r="E168" t="s">
        <v>61</v>
      </c>
      <c r="F168" t="s">
        <v>62</v>
      </c>
      <c r="G168" t="s">
        <v>55</v>
      </c>
      <c r="H168" t="s">
        <v>100</v>
      </c>
      <c r="I168">
        <v>10</v>
      </c>
      <c r="J168" s="1">
        <v>2309.23</v>
      </c>
      <c r="K168">
        <v>0.02</v>
      </c>
      <c r="L168" s="1">
        <v>28827.02</v>
      </c>
      <c r="M168" s="1">
        <v>8270.7999999999993</v>
      </c>
      <c r="N168" s="1">
        <v>94.75</v>
      </c>
      <c r="O168" t="s">
        <v>43</v>
      </c>
      <c r="P168" t="s">
        <v>2149</v>
      </c>
      <c r="Q168" t="b">
        <v>0</v>
      </c>
      <c r="R168" t="s">
        <v>18</v>
      </c>
      <c r="S168">
        <v>5</v>
      </c>
      <c r="T168" t="e">
        <f>IF(#REF!&lt;=25, "Young Age", IF(#REF!&lt;=40, "Mid Age", "Old Age"))</f>
        <v>#REF!</v>
      </c>
      <c r="U168" t="str">
        <f t="shared" si="2"/>
        <v>Delayed</v>
      </c>
    </row>
    <row r="169" spans="1:21" x14ac:dyDescent="0.35">
      <c r="A169" t="s">
        <v>487</v>
      </c>
      <c r="B169" s="13">
        <v>44047</v>
      </c>
      <c r="C169" t="s">
        <v>488</v>
      </c>
      <c r="D169" t="s">
        <v>13</v>
      </c>
      <c r="E169" t="s">
        <v>89</v>
      </c>
      <c r="F169" t="s">
        <v>119</v>
      </c>
      <c r="G169" t="s">
        <v>23</v>
      </c>
      <c r="H169" t="s">
        <v>71</v>
      </c>
      <c r="I169">
        <v>5</v>
      </c>
      <c r="J169" s="1">
        <v>12250.19</v>
      </c>
      <c r="K169">
        <v>0.32</v>
      </c>
      <c r="L169" s="1">
        <v>45443.23</v>
      </c>
      <c r="M169" s="1">
        <v>11573.16</v>
      </c>
      <c r="N169" s="1">
        <v>71.75</v>
      </c>
      <c r="O169" t="s">
        <v>30</v>
      </c>
      <c r="P169">
        <v>3</v>
      </c>
      <c r="Q169" t="b">
        <v>0</v>
      </c>
      <c r="R169" t="s">
        <v>18</v>
      </c>
      <c r="S169">
        <v>6</v>
      </c>
      <c r="T169" t="e">
        <f>IF(#REF!&lt;=25, "Young Age", IF(#REF!&lt;=40, "Mid Age", "Old Age"))</f>
        <v>#REF!</v>
      </c>
      <c r="U169" t="str">
        <f t="shared" si="2"/>
        <v>Delayed</v>
      </c>
    </row>
    <row r="170" spans="1:21" x14ac:dyDescent="0.35">
      <c r="A170" t="s">
        <v>489</v>
      </c>
      <c r="B170" s="13">
        <v>44124</v>
      </c>
      <c r="C170" t="s">
        <v>490</v>
      </c>
      <c r="D170" t="s">
        <v>47</v>
      </c>
      <c r="E170" t="s">
        <v>4</v>
      </c>
      <c r="F170" t="s">
        <v>34</v>
      </c>
      <c r="G170" t="s">
        <v>41</v>
      </c>
      <c r="H170" t="s">
        <v>261</v>
      </c>
      <c r="I170">
        <v>3</v>
      </c>
      <c r="J170" s="1">
        <v>835.42</v>
      </c>
      <c r="K170">
        <v>0.33</v>
      </c>
      <c r="L170" s="1">
        <v>1423.3</v>
      </c>
      <c r="M170" s="1">
        <v>458.44</v>
      </c>
      <c r="N170" s="1">
        <v>55.32</v>
      </c>
      <c r="O170" t="s">
        <v>43</v>
      </c>
      <c r="P170">
        <v>5</v>
      </c>
      <c r="Q170" t="b">
        <v>0</v>
      </c>
      <c r="R170" t="s">
        <v>18</v>
      </c>
      <c r="S170">
        <v>1</v>
      </c>
      <c r="T170" t="e">
        <f>IF(#REF!&lt;=25, "Young Age", IF(#REF!&lt;=40, "Mid Age", "Old Age"))</f>
        <v>#REF!</v>
      </c>
      <c r="U170" t="str">
        <f t="shared" si="2"/>
        <v>Okay</v>
      </c>
    </row>
    <row r="171" spans="1:21" x14ac:dyDescent="0.35">
      <c r="A171" t="s">
        <v>491</v>
      </c>
      <c r="B171" s="13">
        <v>44491</v>
      </c>
      <c r="C171" t="s">
        <v>492</v>
      </c>
      <c r="D171" t="s">
        <v>3</v>
      </c>
      <c r="E171" t="s">
        <v>89</v>
      </c>
      <c r="F171" t="s">
        <v>119</v>
      </c>
      <c r="G171" t="s">
        <v>105</v>
      </c>
      <c r="H171" t="s">
        <v>120</v>
      </c>
      <c r="I171">
        <v>9</v>
      </c>
      <c r="J171" s="1">
        <v>62284.37</v>
      </c>
      <c r="K171">
        <v>0.36</v>
      </c>
      <c r="L171" s="1">
        <v>295233.56</v>
      </c>
      <c r="M171" s="1">
        <v>40519.72</v>
      </c>
      <c r="N171" s="1">
        <v>81.150000000000006</v>
      </c>
      <c r="O171" t="s">
        <v>49</v>
      </c>
      <c r="P171">
        <v>3</v>
      </c>
      <c r="Q171" t="b">
        <v>0</v>
      </c>
      <c r="R171" t="s">
        <v>18</v>
      </c>
      <c r="S171">
        <v>8</v>
      </c>
      <c r="T171" t="e">
        <f>IF(#REF!&lt;=25, "Young Age", IF(#REF!&lt;=40, "Mid Age", "Old Age"))</f>
        <v>#REF!</v>
      </c>
      <c r="U171" t="str">
        <f t="shared" si="2"/>
        <v>Over Delayed</v>
      </c>
    </row>
    <row r="172" spans="1:21" x14ac:dyDescent="0.35">
      <c r="A172" t="s">
        <v>493</v>
      </c>
      <c r="B172" s="13">
        <v>45475</v>
      </c>
      <c r="C172" t="s">
        <v>494</v>
      </c>
      <c r="D172" t="s">
        <v>3</v>
      </c>
      <c r="E172" t="s">
        <v>53</v>
      </c>
      <c r="F172" t="s">
        <v>79</v>
      </c>
      <c r="G172" t="s">
        <v>41</v>
      </c>
      <c r="H172" t="s">
        <v>244</v>
      </c>
      <c r="I172">
        <v>2</v>
      </c>
      <c r="J172" s="1">
        <v>493.07</v>
      </c>
      <c r="K172">
        <v>0.4</v>
      </c>
      <c r="L172" s="1">
        <v>1034.25</v>
      </c>
      <c r="M172" s="1">
        <v>466.16</v>
      </c>
      <c r="N172" s="1">
        <v>79.959999999999994</v>
      </c>
      <c r="O172" t="s">
        <v>36</v>
      </c>
      <c r="P172">
        <v>5</v>
      </c>
      <c r="Q172" t="b">
        <v>0</v>
      </c>
      <c r="R172" t="s">
        <v>18</v>
      </c>
      <c r="S172">
        <v>5</v>
      </c>
      <c r="T172" t="e">
        <f>IF(#REF!&lt;=25, "Young Age", IF(#REF!&lt;=40, "Mid Age", "Old Age"))</f>
        <v>#REF!</v>
      </c>
      <c r="U172" t="str">
        <f t="shared" si="2"/>
        <v>Delayed</v>
      </c>
    </row>
    <row r="173" spans="1:21" x14ac:dyDescent="0.35">
      <c r="A173" t="s">
        <v>495</v>
      </c>
      <c r="B173" s="13">
        <v>44544</v>
      </c>
      <c r="C173" t="s">
        <v>496</v>
      </c>
      <c r="D173" t="s">
        <v>3</v>
      </c>
      <c r="E173" t="s">
        <v>53</v>
      </c>
      <c r="F173" t="s">
        <v>114</v>
      </c>
      <c r="G173" t="s">
        <v>124</v>
      </c>
      <c r="H173" t="s">
        <v>125</v>
      </c>
      <c r="I173">
        <v>2</v>
      </c>
      <c r="J173" s="1">
        <v>4486.05</v>
      </c>
      <c r="K173">
        <v>0</v>
      </c>
      <c r="L173" s="1">
        <v>5037.7700000000004</v>
      </c>
      <c r="M173" s="1">
        <v>1061.82</v>
      </c>
      <c r="N173" s="1">
        <v>70.400000000000006</v>
      </c>
      <c r="O173" t="s">
        <v>57</v>
      </c>
      <c r="P173">
        <v>4</v>
      </c>
      <c r="Q173" t="b">
        <v>0</v>
      </c>
      <c r="R173" t="s">
        <v>18</v>
      </c>
      <c r="S173" t="s">
        <v>2149</v>
      </c>
      <c r="T173" t="e">
        <f>IF(#REF!&lt;=25, "Young Age", IF(#REF!&lt;=40, "Mid Age", "Old Age"))</f>
        <v>#REF!</v>
      </c>
      <c r="U173" t="str">
        <f t="shared" si="2"/>
        <v>Over Delayed</v>
      </c>
    </row>
    <row r="174" spans="1:21" x14ac:dyDescent="0.35">
      <c r="A174" t="s">
        <v>497</v>
      </c>
      <c r="B174" s="13">
        <v>44250</v>
      </c>
      <c r="C174" t="s">
        <v>498</v>
      </c>
      <c r="D174" t="s">
        <v>47</v>
      </c>
      <c r="E174" t="s">
        <v>89</v>
      </c>
      <c r="F174" t="s">
        <v>299</v>
      </c>
      <c r="G174" t="s">
        <v>55</v>
      </c>
      <c r="H174" t="s">
        <v>100</v>
      </c>
      <c r="I174">
        <v>2</v>
      </c>
      <c r="J174" s="1">
        <v>2323.11</v>
      </c>
      <c r="K174">
        <v>0.1</v>
      </c>
      <c r="L174" s="1">
        <v>3708.79</v>
      </c>
      <c r="M174" s="1">
        <v>1138.78</v>
      </c>
      <c r="N174" s="1">
        <v>85.32</v>
      </c>
      <c r="O174" t="s">
        <v>36</v>
      </c>
      <c r="P174">
        <v>2</v>
      </c>
      <c r="Q174" t="b">
        <v>0</v>
      </c>
      <c r="R174" t="s">
        <v>18</v>
      </c>
      <c r="S174">
        <v>7</v>
      </c>
      <c r="T174" t="e">
        <f>IF(#REF!&lt;=25, "Young Age", IF(#REF!&lt;=40, "Mid Age", "Old Age"))</f>
        <v>#REF!</v>
      </c>
      <c r="U174" t="str">
        <f t="shared" si="2"/>
        <v>Delayed</v>
      </c>
    </row>
    <row r="175" spans="1:21" x14ac:dyDescent="0.35">
      <c r="A175" t="s">
        <v>499</v>
      </c>
      <c r="B175" s="13">
        <v>44154</v>
      </c>
      <c r="C175" t="s">
        <v>500</v>
      </c>
      <c r="D175" t="s">
        <v>47</v>
      </c>
      <c r="E175" t="s">
        <v>61</v>
      </c>
      <c r="F175" t="s">
        <v>222</v>
      </c>
      <c r="G175" t="s">
        <v>41</v>
      </c>
      <c r="H175" t="s">
        <v>244</v>
      </c>
      <c r="I175">
        <v>10</v>
      </c>
      <c r="J175" s="1">
        <v>331.1</v>
      </c>
      <c r="K175">
        <v>0.39</v>
      </c>
      <c r="L175" s="1">
        <v>1477.96</v>
      </c>
      <c r="M175" s="1">
        <v>435.14</v>
      </c>
      <c r="N175" s="1">
        <v>84.94</v>
      </c>
      <c r="O175" t="s">
        <v>43</v>
      </c>
      <c r="P175">
        <v>5</v>
      </c>
      <c r="Q175" t="b">
        <v>0</v>
      </c>
      <c r="R175" t="s">
        <v>18</v>
      </c>
      <c r="S175">
        <v>7</v>
      </c>
      <c r="T175" t="e">
        <f>IF(#REF!&lt;=25, "Young Age", IF(#REF!&lt;=40, "Mid Age", "Old Age"))</f>
        <v>#REF!</v>
      </c>
      <c r="U175" t="str">
        <f t="shared" si="2"/>
        <v>Delayed</v>
      </c>
    </row>
    <row r="176" spans="1:21" x14ac:dyDescent="0.35">
      <c r="A176" t="s">
        <v>501</v>
      </c>
      <c r="B176" s="13">
        <v>45558</v>
      </c>
      <c r="C176" t="s">
        <v>502</v>
      </c>
      <c r="D176" t="s">
        <v>13</v>
      </c>
      <c r="E176" t="s">
        <v>4</v>
      </c>
      <c r="F176" t="s">
        <v>148</v>
      </c>
      <c r="G176" t="s">
        <v>6</v>
      </c>
      <c r="H176" t="s">
        <v>387</v>
      </c>
      <c r="I176">
        <v>5</v>
      </c>
      <c r="J176" s="1">
        <v>195.29</v>
      </c>
      <c r="K176">
        <v>0.16</v>
      </c>
      <c r="L176" s="1">
        <v>1055.0999999999999</v>
      </c>
      <c r="M176" s="1">
        <v>81.38</v>
      </c>
      <c r="N176" s="1">
        <v>32.28</v>
      </c>
      <c r="O176" t="s">
        <v>49</v>
      </c>
      <c r="P176">
        <v>3</v>
      </c>
      <c r="Q176" t="b">
        <v>0</v>
      </c>
      <c r="R176" t="s">
        <v>63</v>
      </c>
      <c r="S176">
        <v>5</v>
      </c>
      <c r="T176" t="e">
        <f>IF(#REF!&lt;=25, "Young Age", IF(#REF!&lt;=40, "Mid Age", "Old Age"))</f>
        <v>#REF!</v>
      </c>
      <c r="U176" t="str">
        <f t="shared" si="2"/>
        <v>Delayed</v>
      </c>
    </row>
    <row r="177" spans="1:21" x14ac:dyDescent="0.35">
      <c r="A177" t="s">
        <v>503</v>
      </c>
      <c r="B177" s="13">
        <v>44520</v>
      </c>
      <c r="C177" t="s">
        <v>504</v>
      </c>
      <c r="D177" t="s">
        <v>13</v>
      </c>
      <c r="E177" t="s">
        <v>14</v>
      </c>
      <c r="F177" t="s">
        <v>22</v>
      </c>
      <c r="G177" t="s">
        <v>55</v>
      </c>
      <c r="H177" t="s">
        <v>67</v>
      </c>
      <c r="I177">
        <v>10</v>
      </c>
      <c r="J177" s="1">
        <v>1224.47</v>
      </c>
      <c r="K177">
        <v>0.4</v>
      </c>
      <c r="L177" s="1">
        <v>5546.22</v>
      </c>
      <c r="M177" s="1">
        <v>2019.44</v>
      </c>
      <c r="N177" s="1">
        <v>52.99</v>
      </c>
      <c r="O177" t="s">
        <v>8</v>
      </c>
      <c r="P177">
        <v>1</v>
      </c>
      <c r="Q177" t="b">
        <v>0</v>
      </c>
      <c r="R177" t="s">
        <v>18</v>
      </c>
      <c r="S177">
        <v>6</v>
      </c>
      <c r="T177" t="e">
        <f>IF(#REF!&lt;=25, "Young Age", IF(#REF!&lt;=40, "Mid Age", "Old Age"))</f>
        <v>#REF!</v>
      </c>
      <c r="U177" t="str">
        <f t="shared" si="2"/>
        <v>Delayed</v>
      </c>
    </row>
    <row r="178" spans="1:21" x14ac:dyDescent="0.35">
      <c r="A178" t="s">
        <v>505</v>
      </c>
      <c r="B178" s="13">
        <v>45291</v>
      </c>
      <c r="C178" t="s">
        <v>506</v>
      </c>
      <c r="D178" t="s">
        <v>3</v>
      </c>
      <c r="E178" t="s">
        <v>89</v>
      </c>
      <c r="F178" t="s">
        <v>299</v>
      </c>
      <c r="G178" t="s">
        <v>16</v>
      </c>
      <c r="H178" t="s">
        <v>80</v>
      </c>
      <c r="I178">
        <v>7</v>
      </c>
      <c r="J178" s="1">
        <v>1828.2</v>
      </c>
      <c r="K178">
        <v>0.21</v>
      </c>
      <c r="L178" s="1">
        <v>9118.6299999999992</v>
      </c>
      <c r="M178" s="1">
        <v>3919.89</v>
      </c>
      <c r="N178" s="1">
        <v>72.63</v>
      </c>
      <c r="O178" t="s">
        <v>49</v>
      </c>
      <c r="P178">
        <v>4</v>
      </c>
      <c r="Q178" t="b">
        <v>0</v>
      </c>
      <c r="R178" t="s">
        <v>18</v>
      </c>
      <c r="S178">
        <v>1</v>
      </c>
      <c r="T178" t="e">
        <f>IF(#REF!&lt;=25, "Young Age", IF(#REF!&lt;=40, "Mid Age", "Old Age"))</f>
        <v>#REF!</v>
      </c>
      <c r="U178" t="str">
        <f t="shared" si="2"/>
        <v>Okay</v>
      </c>
    </row>
    <row r="179" spans="1:21" x14ac:dyDescent="0.35">
      <c r="A179" t="s">
        <v>507</v>
      </c>
      <c r="B179" s="13">
        <v>44072</v>
      </c>
      <c r="C179" t="s">
        <v>508</v>
      </c>
      <c r="D179" t="s">
        <v>13</v>
      </c>
      <c r="E179" t="s">
        <v>14</v>
      </c>
      <c r="F179" t="s">
        <v>84</v>
      </c>
      <c r="G179" t="s">
        <v>105</v>
      </c>
      <c r="H179" t="s">
        <v>282</v>
      </c>
      <c r="I179">
        <v>0</v>
      </c>
      <c r="J179" s="1">
        <v>9189.44</v>
      </c>
      <c r="K179">
        <v>0.19</v>
      </c>
      <c r="L179" s="1">
        <v>8306.2900000000009</v>
      </c>
      <c r="M179" s="1">
        <v>916.95</v>
      </c>
      <c r="N179" s="1">
        <v>59.91</v>
      </c>
      <c r="O179" t="s">
        <v>8</v>
      </c>
      <c r="P179">
        <v>4</v>
      </c>
      <c r="Q179" t="b">
        <v>0</v>
      </c>
      <c r="R179" t="s">
        <v>18</v>
      </c>
      <c r="S179">
        <v>5</v>
      </c>
      <c r="T179" t="e">
        <f>IF(#REF!&lt;=25, "Young Age", IF(#REF!&lt;=40, "Mid Age", "Old Age"))</f>
        <v>#REF!</v>
      </c>
      <c r="U179" t="str">
        <f t="shared" si="2"/>
        <v>Delayed</v>
      </c>
    </row>
    <row r="180" spans="1:21" x14ac:dyDescent="0.35">
      <c r="A180" t="s">
        <v>509</v>
      </c>
      <c r="B180" s="13">
        <v>43952</v>
      </c>
      <c r="C180" t="s">
        <v>510</v>
      </c>
      <c r="D180" t="s">
        <v>3</v>
      </c>
      <c r="E180" t="s">
        <v>14</v>
      </c>
      <c r="F180" t="s">
        <v>84</v>
      </c>
      <c r="G180" t="s">
        <v>105</v>
      </c>
      <c r="H180" t="s">
        <v>149</v>
      </c>
      <c r="I180">
        <v>8</v>
      </c>
      <c r="J180" s="1">
        <v>74156.479999999996</v>
      </c>
      <c r="K180">
        <v>0.02</v>
      </c>
      <c r="L180" s="1">
        <v>789939.57</v>
      </c>
      <c r="M180" s="1">
        <v>58250.48</v>
      </c>
      <c r="N180" s="1">
        <v>75.8</v>
      </c>
      <c r="O180" t="s">
        <v>49</v>
      </c>
      <c r="P180">
        <v>5</v>
      </c>
      <c r="Q180" t="b">
        <v>0</v>
      </c>
      <c r="R180" t="s">
        <v>18</v>
      </c>
      <c r="S180">
        <v>2</v>
      </c>
      <c r="T180" t="e">
        <f>IF(#REF!&lt;=25, "Young Age", IF(#REF!&lt;=40, "Mid Age", "Old Age"))</f>
        <v>#REF!</v>
      </c>
      <c r="U180" t="str">
        <f t="shared" si="2"/>
        <v>Okay</v>
      </c>
    </row>
    <row r="181" spans="1:21" x14ac:dyDescent="0.35">
      <c r="A181" t="s">
        <v>511</v>
      </c>
      <c r="B181" s="13">
        <v>45494</v>
      </c>
      <c r="C181" t="s">
        <v>512</v>
      </c>
      <c r="D181" t="s">
        <v>47</v>
      </c>
      <c r="E181" t="s">
        <v>4</v>
      </c>
      <c r="F181" t="s">
        <v>148</v>
      </c>
      <c r="G181" t="s">
        <v>6</v>
      </c>
      <c r="H181" t="s">
        <v>7</v>
      </c>
      <c r="I181">
        <v>6</v>
      </c>
      <c r="J181" s="1">
        <v>462.8</v>
      </c>
      <c r="K181">
        <v>0.2</v>
      </c>
      <c r="L181" s="1">
        <v>3702.45</v>
      </c>
      <c r="M181" s="1">
        <v>265.27999999999997</v>
      </c>
      <c r="N181" s="1">
        <v>81.010000000000005</v>
      </c>
      <c r="O181" t="s">
        <v>43</v>
      </c>
      <c r="P181">
        <v>4</v>
      </c>
      <c r="Q181" t="b">
        <v>0</v>
      </c>
      <c r="R181" t="s">
        <v>18</v>
      </c>
      <c r="S181">
        <v>7</v>
      </c>
      <c r="T181" t="e">
        <f>IF(#REF!&lt;=25, "Young Age", IF(#REF!&lt;=40, "Mid Age", "Old Age"))</f>
        <v>#REF!</v>
      </c>
      <c r="U181" t="str">
        <f t="shared" si="2"/>
        <v>Delayed</v>
      </c>
    </row>
    <row r="182" spans="1:21" x14ac:dyDescent="0.35">
      <c r="A182" t="s">
        <v>513</v>
      </c>
      <c r="B182" s="13">
        <v>44715</v>
      </c>
      <c r="C182" t="s">
        <v>514</v>
      </c>
      <c r="D182" t="s">
        <v>3</v>
      </c>
      <c r="E182" t="s">
        <v>14</v>
      </c>
      <c r="F182" t="s">
        <v>15</v>
      </c>
      <c r="G182" t="s">
        <v>41</v>
      </c>
      <c r="H182" t="s">
        <v>42</v>
      </c>
      <c r="I182">
        <v>4</v>
      </c>
      <c r="J182" s="1">
        <v>664.43</v>
      </c>
      <c r="K182">
        <v>0.18</v>
      </c>
      <c r="L182" s="1">
        <v>2827.28</v>
      </c>
      <c r="M182" s="1">
        <v>858.56</v>
      </c>
      <c r="N182" s="1">
        <v>89.26</v>
      </c>
      <c r="O182" t="s">
        <v>36</v>
      </c>
      <c r="P182">
        <v>3</v>
      </c>
      <c r="Q182" t="b">
        <v>0</v>
      </c>
      <c r="R182" t="s">
        <v>18</v>
      </c>
      <c r="S182">
        <v>8</v>
      </c>
      <c r="T182" t="e">
        <f>IF(#REF!&lt;=25, "Young Age", IF(#REF!&lt;=40, "Mid Age", "Old Age"))</f>
        <v>#REF!</v>
      </c>
      <c r="U182" t="str">
        <f t="shared" si="2"/>
        <v>Over Delayed</v>
      </c>
    </row>
    <row r="183" spans="1:21" x14ac:dyDescent="0.35">
      <c r="A183" t="s">
        <v>515</v>
      </c>
      <c r="B183" s="13">
        <v>45566</v>
      </c>
      <c r="C183" t="s">
        <v>516</v>
      </c>
      <c r="D183" t="s">
        <v>13</v>
      </c>
      <c r="E183" t="s">
        <v>53</v>
      </c>
      <c r="F183" t="s">
        <v>54</v>
      </c>
      <c r="G183" t="s">
        <v>23</v>
      </c>
      <c r="H183" t="s">
        <v>29</v>
      </c>
      <c r="I183">
        <v>5</v>
      </c>
      <c r="J183" s="1">
        <v>16493.240000000002</v>
      </c>
      <c r="K183">
        <v>0.1</v>
      </c>
      <c r="L183" s="1">
        <v>95102.09</v>
      </c>
      <c r="M183" s="1">
        <v>29222.3</v>
      </c>
      <c r="N183" s="1">
        <v>63.55</v>
      </c>
      <c r="O183" t="s">
        <v>43</v>
      </c>
      <c r="P183">
        <v>5</v>
      </c>
      <c r="Q183" t="b">
        <v>0</v>
      </c>
      <c r="R183" t="s">
        <v>18</v>
      </c>
      <c r="S183">
        <v>-1</v>
      </c>
      <c r="T183" t="e">
        <f>IF(#REF!&lt;=25, "Young Age", IF(#REF!&lt;=40, "Mid Age", "Old Age"))</f>
        <v>#REF!</v>
      </c>
      <c r="U183" t="str">
        <f t="shared" si="2"/>
        <v>Okay</v>
      </c>
    </row>
    <row r="184" spans="1:21" x14ac:dyDescent="0.35">
      <c r="A184" t="s">
        <v>517</v>
      </c>
      <c r="B184" s="13">
        <v>44520</v>
      </c>
      <c r="C184" t="s">
        <v>518</v>
      </c>
      <c r="D184" t="s">
        <v>13</v>
      </c>
      <c r="E184" t="s">
        <v>53</v>
      </c>
      <c r="F184" t="s">
        <v>114</v>
      </c>
      <c r="G184" t="s">
        <v>55</v>
      </c>
      <c r="H184" t="s">
        <v>185</v>
      </c>
      <c r="I184">
        <v>9</v>
      </c>
      <c r="J184" s="1">
        <v>577.16</v>
      </c>
      <c r="K184">
        <v>0.35</v>
      </c>
      <c r="L184" s="1">
        <v>2706.28</v>
      </c>
      <c r="M184" s="1">
        <v>896.42</v>
      </c>
      <c r="N184" s="1">
        <v>45.41</v>
      </c>
      <c r="O184" t="s">
        <v>57</v>
      </c>
      <c r="P184">
        <v>3</v>
      </c>
      <c r="Q184" t="b">
        <v>1</v>
      </c>
      <c r="R184" t="s">
        <v>9</v>
      </c>
      <c r="S184">
        <v>2</v>
      </c>
      <c r="T184" t="e">
        <f>IF(#REF!&lt;=25, "Young Age", IF(#REF!&lt;=40, "Mid Age", "Old Age"))</f>
        <v>#REF!</v>
      </c>
      <c r="U184" t="str">
        <f t="shared" si="2"/>
        <v>Okay</v>
      </c>
    </row>
    <row r="185" spans="1:21" x14ac:dyDescent="0.35">
      <c r="A185" t="s">
        <v>519</v>
      </c>
      <c r="B185" s="13">
        <v>45168</v>
      </c>
      <c r="C185" t="s">
        <v>520</v>
      </c>
      <c r="D185" t="s">
        <v>13</v>
      </c>
      <c r="E185" t="s">
        <v>89</v>
      </c>
      <c r="F185" t="s">
        <v>90</v>
      </c>
      <c r="G185" t="s">
        <v>23</v>
      </c>
      <c r="H185" t="s">
        <v>29</v>
      </c>
      <c r="I185">
        <v>6</v>
      </c>
      <c r="J185" s="1">
        <v>21712.77</v>
      </c>
      <c r="K185">
        <v>0.14000000000000001</v>
      </c>
      <c r="L185" s="1">
        <v>157859.91</v>
      </c>
      <c r="M185" s="1">
        <v>48496.37</v>
      </c>
      <c r="N185" s="1">
        <v>62.68</v>
      </c>
      <c r="O185" t="s">
        <v>30</v>
      </c>
      <c r="P185">
        <v>2</v>
      </c>
      <c r="Q185" t="b">
        <v>0</v>
      </c>
      <c r="R185" t="s">
        <v>63</v>
      </c>
      <c r="S185">
        <v>9</v>
      </c>
      <c r="T185" t="e">
        <f>IF(#REF!&lt;=25, "Young Age", IF(#REF!&lt;=40, "Mid Age", "Old Age"))</f>
        <v>#REF!</v>
      </c>
      <c r="U185" t="str">
        <f t="shared" si="2"/>
        <v>Over Delayed</v>
      </c>
    </row>
    <row r="186" spans="1:21" x14ac:dyDescent="0.35">
      <c r="A186" t="s">
        <v>521</v>
      </c>
      <c r="B186" s="13">
        <v>45507</v>
      </c>
      <c r="C186" t="s">
        <v>522</v>
      </c>
      <c r="D186" t="s">
        <v>3</v>
      </c>
      <c r="E186" t="s">
        <v>14</v>
      </c>
      <c r="F186" t="s">
        <v>22</v>
      </c>
      <c r="G186" t="s">
        <v>16</v>
      </c>
      <c r="H186" t="s">
        <v>160</v>
      </c>
      <c r="I186">
        <v>5</v>
      </c>
      <c r="J186" s="1">
        <v>2341.12</v>
      </c>
      <c r="K186">
        <v>7.0000000000000007E-2</v>
      </c>
      <c r="L186" s="1">
        <v>14424.73</v>
      </c>
      <c r="M186" s="1">
        <v>7388.44</v>
      </c>
      <c r="N186" s="1">
        <v>70.78</v>
      </c>
      <c r="O186" t="s">
        <v>49</v>
      </c>
      <c r="P186" t="s">
        <v>2149</v>
      </c>
      <c r="Q186" t="b">
        <v>1</v>
      </c>
      <c r="R186" t="s">
        <v>9</v>
      </c>
      <c r="S186">
        <v>3</v>
      </c>
      <c r="T186" t="e">
        <f>IF(#REF!&lt;=25, "Young Age", IF(#REF!&lt;=40, "Mid Age", "Old Age"))</f>
        <v>#REF!</v>
      </c>
      <c r="U186" t="str">
        <f t="shared" si="2"/>
        <v>Okay</v>
      </c>
    </row>
    <row r="187" spans="1:21" x14ac:dyDescent="0.35">
      <c r="A187" t="s">
        <v>523</v>
      </c>
      <c r="B187" s="13">
        <v>44652</v>
      </c>
      <c r="C187" t="s">
        <v>524</v>
      </c>
      <c r="D187" t="s">
        <v>13</v>
      </c>
      <c r="E187" t="s">
        <v>14</v>
      </c>
      <c r="F187" t="s">
        <v>22</v>
      </c>
      <c r="G187" t="s">
        <v>16</v>
      </c>
      <c r="H187" t="s">
        <v>80</v>
      </c>
      <c r="I187">
        <v>3</v>
      </c>
      <c r="J187" s="1">
        <v>992.1</v>
      </c>
      <c r="K187">
        <v>0.25</v>
      </c>
      <c r="L187" s="1">
        <v>3344.42</v>
      </c>
      <c r="M187" s="1">
        <v>1765.61</v>
      </c>
      <c r="N187" s="1">
        <v>59.26</v>
      </c>
      <c r="O187" t="s">
        <v>49</v>
      </c>
      <c r="P187" t="s">
        <v>2149</v>
      </c>
      <c r="Q187" t="b">
        <v>0</v>
      </c>
      <c r="R187" t="s">
        <v>63</v>
      </c>
      <c r="S187">
        <v>4</v>
      </c>
      <c r="T187" t="e">
        <f>IF(#REF!&lt;=25, "Young Age", IF(#REF!&lt;=40, "Mid Age", "Old Age"))</f>
        <v>#REF!</v>
      </c>
      <c r="U187" t="str">
        <f t="shared" si="2"/>
        <v>Okay</v>
      </c>
    </row>
    <row r="188" spans="1:21" x14ac:dyDescent="0.35">
      <c r="A188" t="s">
        <v>525</v>
      </c>
      <c r="B188" s="13">
        <v>44773</v>
      </c>
      <c r="C188" t="s">
        <v>526</v>
      </c>
      <c r="D188" t="s">
        <v>3</v>
      </c>
      <c r="E188" t="s">
        <v>61</v>
      </c>
      <c r="F188" t="s">
        <v>62</v>
      </c>
      <c r="G188" t="s">
        <v>55</v>
      </c>
      <c r="H188" t="s">
        <v>56</v>
      </c>
      <c r="I188">
        <v>2</v>
      </c>
      <c r="J188" s="1">
        <v>3551.33</v>
      </c>
      <c r="K188">
        <v>0.03</v>
      </c>
      <c r="L188" s="1">
        <v>9440.7800000000007</v>
      </c>
      <c r="M188" s="1">
        <v>3804.23</v>
      </c>
      <c r="N188" s="1">
        <v>97.74</v>
      </c>
      <c r="O188" t="s">
        <v>36</v>
      </c>
      <c r="P188">
        <v>3</v>
      </c>
      <c r="Q188" t="b">
        <v>0</v>
      </c>
      <c r="R188" t="s">
        <v>175</v>
      </c>
      <c r="S188">
        <v>8</v>
      </c>
      <c r="T188" t="e">
        <f>IF(#REF!&lt;=25, "Young Age", IF(#REF!&lt;=40, "Mid Age", "Old Age"))</f>
        <v>#REF!</v>
      </c>
      <c r="U188" t="str">
        <f t="shared" si="2"/>
        <v>Over Delayed</v>
      </c>
    </row>
    <row r="189" spans="1:21" x14ac:dyDescent="0.35">
      <c r="A189" t="s">
        <v>527</v>
      </c>
      <c r="B189" s="13">
        <v>45327</v>
      </c>
      <c r="C189" t="s">
        <v>528</v>
      </c>
      <c r="D189" t="s">
        <v>47</v>
      </c>
      <c r="E189" t="s">
        <v>53</v>
      </c>
      <c r="F189" t="s">
        <v>114</v>
      </c>
      <c r="G189" t="s">
        <v>124</v>
      </c>
      <c r="H189" t="s">
        <v>195</v>
      </c>
      <c r="I189">
        <v>2</v>
      </c>
      <c r="J189" s="1">
        <v>9159.84</v>
      </c>
      <c r="K189">
        <v>0.21</v>
      </c>
      <c r="L189" s="1">
        <v>17159.150000000001</v>
      </c>
      <c r="M189" s="1">
        <v>4525.93</v>
      </c>
      <c r="N189" s="1">
        <v>58.04</v>
      </c>
      <c r="O189" t="s">
        <v>30</v>
      </c>
      <c r="P189">
        <v>4</v>
      </c>
      <c r="Q189" t="b">
        <v>0</v>
      </c>
      <c r="R189" t="s">
        <v>18</v>
      </c>
      <c r="S189">
        <v>4</v>
      </c>
      <c r="T189" t="e">
        <f>IF(#REF!&lt;=25, "Young Age", IF(#REF!&lt;=40, "Mid Age", "Old Age"))</f>
        <v>#REF!</v>
      </c>
      <c r="U189" t="str">
        <f t="shared" si="2"/>
        <v>Okay</v>
      </c>
    </row>
    <row r="190" spans="1:21" x14ac:dyDescent="0.35">
      <c r="A190" t="s">
        <v>529</v>
      </c>
      <c r="B190" s="13">
        <v>44561</v>
      </c>
      <c r="C190" t="s">
        <v>530</v>
      </c>
      <c r="D190" t="s">
        <v>13</v>
      </c>
      <c r="E190" t="s">
        <v>14</v>
      </c>
      <c r="F190" t="s">
        <v>15</v>
      </c>
      <c r="G190" t="s">
        <v>124</v>
      </c>
      <c r="H190" t="s">
        <v>413</v>
      </c>
      <c r="I190">
        <v>3</v>
      </c>
      <c r="J190" s="1">
        <v>726.67</v>
      </c>
      <c r="K190">
        <v>0.34</v>
      </c>
      <c r="L190" s="1">
        <v>1042.72</v>
      </c>
      <c r="M190" s="1">
        <v>281.95</v>
      </c>
      <c r="N190" s="1">
        <v>34.18</v>
      </c>
      <c r="O190" t="s">
        <v>43</v>
      </c>
      <c r="P190">
        <v>1</v>
      </c>
      <c r="Q190" t="b">
        <v>0</v>
      </c>
      <c r="R190" t="s">
        <v>115</v>
      </c>
      <c r="S190">
        <v>9</v>
      </c>
      <c r="T190" t="e">
        <f>IF(#REF!&lt;=25, "Young Age", IF(#REF!&lt;=40, "Mid Age", "Old Age"))</f>
        <v>#REF!</v>
      </c>
      <c r="U190" t="str">
        <f t="shared" si="2"/>
        <v>Over Delayed</v>
      </c>
    </row>
    <row r="191" spans="1:21" x14ac:dyDescent="0.35">
      <c r="A191" t="s">
        <v>531</v>
      </c>
      <c r="B191" s="13">
        <v>44991</v>
      </c>
      <c r="C191" t="s">
        <v>532</v>
      </c>
      <c r="D191" t="s">
        <v>13</v>
      </c>
      <c r="E191" t="s">
        <v>61</v>
      </c>
      <c r="F191" t="s">
        <v>104</v>
      </c>
      <c r="G191" t="s">
        <v>105</v>
      </c>
      <c r="H191" t="s">
        <v>120</v>
      </c>
      <c r="I191">
        <v>3</v>
      </c>
      <c r="J191" s="1">
        <v>65257.11</v>
      </c>
      <c r="K191">
        <v>0.2</v>
      </c>
      <c r="L191" s="1">
        <v>196362.97</v>
      </c>
      <c r="M191" s="1">
        <v>27495.56</v>
      </c>
      <c r="N191" s="1">
        <v>51.41</v>
      </c>
      <c r="O191" t="s">
        <v>57</v>
      </c>
      <c r="P191">
        <v>1</v>
      </c>
      <c r="Q191" t="b">
        <v>1</v>
      </c>
      <c r="R191" t="s">
        <v>9</v>
      </c>
      <c r="S191">
        <v>4</v>
      </c>
      <c r="T191" t="e">
        <f>IF(#REF!&lt;=25, "Young Age", IF(#REF!&lt;=40, "Mid Age", "Old Age"))</f>
        <v>#REF!</v>
      </c>
      <c r="U191" t="str">
        <f t="shared" si="2"/>
        <v>Okay</v>
      </c>
    </row>
    <row r="192" spans="1:21" x14ac:dyDescent="0.35">
      <c r="A192" t="s">
        <v>533</v>
      </c>
      <c r="B192" s="13">
        <v>45518</v>
      </c>
      <c r="C192" t="s">
        <v>534</v>
      </c>
      <c r="D192" t="s">
        <v>3</v>
      </c>
      <c r="E192" t="s">
        <v>4</v>
      </c>
      <c r="F192" t="s">
        <v>148</v>
      </c>
      <c r="G192" t="s">
        <v>41</v>
      </c>
      <c r="H192" t="s">
        <v>42</v>
      </c>
      <c r="I192">
        <v>6</v>
      </c>
      <c r="J192" s="1">
        <v>797.16</v>
      </c>
      <c r="K192">
        <v>0.34</v>
      </c>
      <c r="L192" s="1">
        <v>4735.21</v>
      </c>
      <c r="M192" s="1">
        <v>1174.5899999999999</v>
      </c>
      <c r="N192" s="1">
        <v>15.7</v>
      </c>
      <c r="O192" t="s">
        <v>43</v>
      </c>
      <c r="P192">
        <v>4</v>
      </c>
      <c r="Q192" t="b">
        <v>0</v>
      </c>
      <c r="R192" t="s">
        <v>115</v>
      </c>
      <c r="S192">
        <v>2</v>
      </c>
      <c r="T192" t="e">
        <f>IF(#REF!&lt;=25, "Young Age", IF(#REF!&lt;=40, "Mid Age", "Old Age"))</f>
        <v>#REF!</v>
      </c>
      <c r="U192" t="str">
        <f t="shared" si="2"/>
        <v>Okay</v>
      </c>
    </row>
    <row r="193" spans="1:21" x14ac:dyDescent="0.35">
      <c r="A193" t="s">
        <v>535</v>
      </c>
      <c r="B193" s="13">
        <v>45262</v>
      </c>
      <c r="C193" t="s">
        <v>536</v>
      </c>
      <c r="D193" t="s">
        <v>47</v>
      </c>
      <c r="E193" t="s">
        <v>53</v>
      </c>
      <c r="F193" t="s">
        <v>79</v>
      </c>
      <c r="G193" t="s">
        <v>124</v>
      </c>
      <c r="H193" t="s">
        <v>156</v>
      </c>
      <c r="J193" s="1">
        <v>11000.34</v>
      </c>
      <c r="K193">
        <v>0.04</v>
      </c>
      <c r="L193" s="1">
        <v>9272.7099999999991</v>
      </c>
      <c r="M193" s="1">
        <v>1339.4</v>
      </c>
      <c r="N193" s="1">
        <v>62.5</v>
      </c>
      <c r="O193" t="s">
        <v>36</v>
      </c>
      <c r="P193">
        <v>1</v>
      </c>
      <c r="Q193" t="b">
        <v>0</v>
      </c>
      <c r="R193" t="s">
        <v>63</v>
      </c>
      <c r="S193">
        <v>2</v>
      </c>
      <c r="T193" t="e">
        <f>IF(#REF!&lt;=25, "Young Age", IF(#REF!&lt;=40, "Mid Age", "Old Age"))</f>
        <v>#REF!</v>
      </c>
      <c r="U193" t="str">
        <f t="shared" si="2"/>
        <v>Okay</v>
      </c>
    </row>
    <row r="194" spans="1:21" x14ac:dyDescent="0.35">
      <c r="A194" t="s">
        <v>537</v>
      </c>
      <c r="B194" s="13">
        <v>43954</v>
      </c>
      <c r="C194" t="s">
        <v>538</v>
      </c>
      <c r="D194" t="s">
        <v>13</v>
      </c>
      <c r="E194" t="s">
        <v>53</v>
      </c>
      <c r="F194" t="s">
        <v>79</v>
      </c>
      <c r="G194" t="s">
        <v>41</v>
      </c>
      <c r="H194" t="s">
        <v>261</v>
      </c>
      <c r="I194">
        <v>10</v>
      </c>
      <c r="J194" s="1">
        <v>1346.41</v>
      </c>
      <c r="K194">
        <v>0.24</v>
      </c>
      <c r="L194" s="1">
        <v>12502.33</v>
      </c>
      <c r="M194" s="1">
        <v>5924.88</v>
      </c>
      <c r="N194" s="1">
        <v>55.15</v>
      </c>
      <c r="O194" t="s">
        <v>57</v>
      </c>
      <c r="P194">
        <v>1</v>
      </c>
      <c r="Q194" t="b">
        <v>0</v>
      </c>
      <c r="R194" t="s">
        <v>37</v>
      </c>
      <c r="S194">
        <v>2</v>
      </c>
      <c r="T194" t="e">
        <f>IF(#REF!&lt;=25, "Young Age", IF(#REF!&lt;=40, "Mid Age", "Old Age"))</f>
        <v>#REF!</v>
      </c>
      <c r="U194" t="str">
        <f t="shared" ref="U194:U257" si="3">IF(S194 &lt;=4, "Okay", IF(S194 &lt;=7, "Delayed", "Over Delayed"))</f>
        <v>Okay</v>
      </c>
    </row>
    <row r="195" spans="1:21" x14ac:dyDescent="0.35">
      <c r="A195" t="s">
        <v>539</v>
      </c>
      <c r="B195" s="13">
        <v>45458</v>
      </c>
      <c r="C195" t="s">
        <v>540</v>
      </c>
      <c r="D195" t="s">
        <v>47</v>
      </c>
      <c r="E195" t="s">
        <v>53</v>
      </c>
      <c r="F195" t="s">
        <v>170</v>
      </c>
      <c r="G195" t="s">
        <v>55</v>
      </c>
      <c r="H195" t="s">
        <v>185</v>
      </c>
      <c r="I195">
        <v>10</v>
      </c>
      <c r="J195" s="1">
        <v>1828.09</v>
      </c>
      <c r="K195">
        <v>0.4</v>
      </c>
      <c r="L195" s="1">
        <v>18651.13</v>
      </c>
      <c r="M195" s="1">
        <v>4543.72</v>
      </c>
      <c r="N195" s="1">
        <v>54.66</v>
      </c>
      <c r="O195" t="s">
        <v>57</v>
      </c>
      <c r="P195">
        <v>5</v>
      </c>
      <c r="Q195" t="b">
        <v>0</v>
      </c>
      <c r="R195" t="s">
        <v>18</v>
      </c>
      <c r="S195">
        <v>10</v>
      </c>
      <c r="T195" t="e">
        <f>IF(#REF!&lt;=25, "Young Age", IF(#REF!&lt;=40, "Mid Age", "Old Age"))</f>
        <v>#REF!</v>
      </c>
      <c r="U195" t="str">
        <f t="shared" si="3"/>
        <v>Over Delayed</v>
      </c>
    </row>
    <row r="196" spans="1:21" x14ac:dyDescent="0.35">
      <c r="A196" t="s">
        <v>541</v>
      </c>
      <c r="B196" s="13">
        <v>44365</v>
      </c>
      <c r="C196" t="s">
        <v>542</v>
      </c>
      <c r="D196" t="s">
        <v>3</v>
      </c>
      <c r="E196" t="s">
        <v>4</v>
      </c>
      <c r="F196" t="s">
        <v>5</v>
      </c>
      <c r="G196" t="s">
        <v>23</v>
      </c>
      <c r="H196" t="s">
        <v>71</v>
      </c>
      <c r="I196">
        <v>5</v>
      </c>
      <c r="J196" s="1">
        <v>27399.66</v>
      </c>
      <c r="K196">
        <v>0.38</v>
      </c>
      <c r="L196" s="1">
        <v>132575.91</v>
      </c>
      <c r="M196" s="1">
        <v>31097.38</v>
      </c>
      <c r="N196" s="1">
        <v>50.34</v>
      </c>
      <c r="O196" t="s">
        <v>36</v>
      </c>
      <c r="P196" t="s">
        <v>2149</v>
      </c>
      <c r="Q196" t="b">
        <v>0</v>
      </c>
      <c r="R196" t="s">
        <v>18</v>
      </c>
      <c r="S196">
        <v>4</v>
      </c>
      <c r="T196" t="e">
        <f>IF(#REF!&lt;=25, "Young Age", IF(#REF!&lt;=40, "Mid Age", "Old Age"))</f>
        <v>#REF!</v>
      </c>
      <c r="U196" t="str">
        <f t="shared" si="3"/>
        <v>Okay</v>
      </c>
    </row>
    <row r="197" spans="1:21" x14ac:dyDescent="0.35">
      <c r="A197" t="s">
        <v>543</v>
      </c>
      <c r="B197" s="13">
        <v>45019</v>
      </c>
      <c r="C197" t="s">
        <v>544</v>
      </c>
      <c r="D197" t="s">
        <v>3</v>
      </c>
      <c r="E197" t="s">
        <v>61</v>
      </c>
      <c r="F197" t="s">
        <v>222</v>
      </c>
      <c r="G197" t="s">
        <v>41</v>
      </c>
      <c r="H197" t="s">
        <v>261</v>
      </c>
      <c r="I197">
        <v>10</v>
      </c>
      <c r="J197" s="1">
        <v>1221.02</v>
      </c>
      <c r="K197">
        <v>0.17</v>
      </c>
      <c r="L197" s="1">
        <v>15191.82</v>
      </c>
      <c r="M197" s="1">
        <v>5083.3</v>
      </c>
      <c r="N197" s="1">
        <v>86.46</v>
      </c>
      <c r="O197" t="s">
        <v>30</v>
      </c>
      <c r="P197">
        <v>5</v>
      </c>
      <c r="Q197" t="b">
        <v>0</v>
      </c>
      <c r="R197" t="s">
        <v>37</v>
      </c>
      <c r="S197">
        <v>4</v>
      </c>
      <c r="T197" t="e">
        <f>IF(#REF!&lt;=25, "Young Age", IF(#REF!&lt;=40, "Mid Age", "Old Age"))</f>
        <v>#REF!</v>
      </c>
      <c r="U197" t="str">
        <f t="shared" si="3"/>
        <v>Okay</v>
      </c>
    </row>
    <row r="198" spans="1:21" x14ac:dyDescent="0.35">
      <c r="A198" t="s">
        <v>545</v>
      </c>
      <c r="B198" s="13">
        <v>45077</v>
      </c>
      <c r="C198" t="s">
        <v>546</v>
      </c>
      <c r="D198" t="s">
        <v>47</v>
      </c>
      <c r="E198" t="s">
        <v>89</v>
      </c>
      <c r="F198" t="s">
        <v>299</v>
      </c>
      <c r="G198" t="s">
        <v>105</v>
      </c>
      <c r="H198" t="s">
        <v>120</v>
      </c>
      <c r="I198">
        <v>5</v>
      </c>
      <c r="J198" s="1">
        <v>26851.1</v>
      </c>
      <c r="K198">
        <v>0.03</v>
      </c>
      <c r="L198" s="1">
        <v>218111.79</v>
      </c>
      <c r="M198" s="1">
        <v>24902.1</v>
      </c>
      <c r="N198" s="1">
        <v>72.55</v>
      </c>
      <c r="O198" t="s">
        <v>57</v>
      </c>
      <c r="P198">
        <v>2</v>
      </c>
      <c r="Q198" t="b">
        <v>0</v>
      </c>
      <c r="R198" t="s">
        <v>18</v>
      </c>
      <c r="S198">
        <v>2</v>
      </c>
      <c r="T198" t="e">
        <f>IF(#REF!&lt;=25, "Young Age", IF(#REF!&lt;=40, "Mid Age", "Old Age"))</f>
        <v>#REF!</v>
      </c>
      <c r="U198" t="str">
        <f t="shared" si="3"/>
        <v>Okay</v>
      </c>
    </row>
    <row r="199" spans="1:21" x14ac:dyDescent="0.35">
      <c r="A199" t="s">
        <v>547</v>
      </c>
      <c r="B199" s="13">
        <v>45256</v>
      </c>
      <c r="C199" t="s">
        <v>548</v>
      </c>
      <c r="D199" t="s">
        <v>47</v>
      </c>
      <c r="E199" t="s">
        <v>14</v>
      </c>
      <c r="F199" t="s">
        <v>22</v>
      </c>
      <c r="G199" t="s">
        <v>124</v>
      </c>
      <c r="H199" t="s">
        <v>139</v>
      </c>
      <c r="I199">
        <v>3</v>
      </c>
      <c r="J199" s="1">
        <v>11118.32</v>
      </c>
      <c r="K199">
        <v>0.3</v>
      </c>
      <c r="L199" s="1">
        <v>22974.82</v>
      </c>
      <c r="M199" s="1">
        <v>4866.53</v>
      </c>
      <c r="N199" s="1">
        <v>53.21</v>
      </c>
      <c r="O199" t="s">
        <v>36</v>
      </c>
      <c r="P199">
        <v>4</v>
      </c>
      <c r="Q199" t="b">
        <v>1</v>
      </c>
      <c r="R199" t="s">
        <v>9</v>
      </c>
      <c r="S199">
        <v>9</v>
      </c>
      <c r="T199" t="e">
        <f>IF(#REF!&lt;=25, "Young Age", IF(#REF!&lt;=40, "Mid Age", "Old Age"))</f>
        <v>#REF!</v>
      </c>
      <c r="U199" t="str">
        <f t="shared" si="3"/>
        <v>Over Delayed</v>
      </c>
    </row>
    <row r="200" spans="1:21" x14ac:dyDescent="0.35">
      <c r="A200" t="s">
        <v>549</v>
      </c>
      <c r="B200" s="13">
        <v>44144</v>
      </c>
      <c r="C200" t="s">
        <v>550</v>
      </c>
      <c r="D200" t="s">
        <v>13</v>
      </c>
      <c r="E200" t="s">
        <v>53</v>
      </c>
      <c r="F200" t="s">
        <v>114</v>
      </c>
      <c r="G200" t="s">
        <v>16</v>
      </c>
      <c r="H200" t="s">
        <v>160</v>
      </c>
      <c r="I200">
        <v>10</v>
      </c>
      <c r="J200" s="1">
        <v>1973.78</v>
      </c>
      <c r="K200">
        <v>7.0000000000000007E-2</v>
      </c>
      <c r="L200" s="1">
        <v>14584.96</v>
      </c>
      <c r="M200" s="1">
        <v>5325.39</v>
      </c>
      <c r="N200" s="1">
        <v>34.79</v>
      </c>
      <c r="O200" t="s">
        <v>49</v>
      </c>
      <c r="P200">
        <v>4</v>
      </c>
      <c r="Q200" t="b">
        <v>0</v>
      </c>
      <c r="R200" t="s">
        <v>18</v>
      </c>
      <c r="S200">
        <v>8</v>
      </c>
      <c r="T200" t="e">
        <f>IF(#REF!&lt;=25, "Young Age", IF(#REF!&lt;=40, "Mid Age", "Old Age"))</f>
        <v>#REF!</v>
      </c>
      <c r="U200" t="str">
        <f t="shared" si="3"/>
        <v>Over Delayed</v>
      </c>
    </row>
    <row r="201" spans="1:21" x14ac:dyDescent="0.35">
      <c r="A201" t="s">
        <v>551</v>
      </c>
      <c r="B201" s="13">
        <v>45107</v>
      </c>
      <c r="C201" t="s">
        <v>552</v>
      </c>
      <c r="D201" t="s">
        <v>3</v>
      </c>
      <c r="E201" t="s">
        <v>61</v>
      </c>
      <c r="F201" t="s">
        <v>104</v>
      </c>
      <c r="G201" t="s">
        <v>23</v>
      </c>
      <c r="H201" t="s">
        <v>29</v>
      </c>
      <c r="I201">
        <v>9</v>
      </c>
      <c r="J201" s="1">
        <v>12800.64</v>
      </c>
      <c r="K201">
        <v>0.3</v>
      </c>
      <c r="L201" s="1">
        <v>120310.49</v>
      </c>
      <c r="M201" s="1">
        <v>28867.05</v>
      </c>
      <c r="N201" s="1">
        <v>77.17</v>
      </c>
      <c r="O201" t="s">
        <v>43</v>
      </c>
      <c r="P201">
        <v>5</v>
      </c>
      <c r="Q201" t="b">
        <v>0</v>
      </c>
      <c r="R201" t="s">
        <v>18</v>
      </c>
      <c r="S201">
        <v>7</v>
      </c>
      <c r="T201" t="e">
        <f>IF(#REF!&lt;=25, "Young Age", IF(#REF!&lt;=40, "Mid Age", "Old Age"))</f>
        <v>#REF!</v>
      </c>
      <c r="U201" t="str">
        <f t="shared" si="3"/>
        <v>Delayed</v>
      </c>
    </row>
    <row r="202" spans="1:21" x14ac:dyDescent="0.35">
      <c r="A202" t="s">
        <v>553</v>
      </c>
      <c r="B202" s="13">
        <v>44048</v>
      </c>
      <c r="C202" t="s">
        <v>554</v>
      </c>
      <c r="D202" t="s">
        <v>3</v>
      </c>
      <c r="E202" t="s">
        <v>53</v>
      </c>
      <c r="F202" t="s">
        <v>114</v>
      </c>
      <c r="G202" t="s">
        <v>105</v>
      </c>
      <c r="H202" t="s">
        <v>149</v>
      </c>
      <c r="I202">
        <v>5</v>
      </c>
      <c r="J202" s="1">
        <v>16919.29</v>
      </c>
      <c r="K202">
        <v>0.06</v>
      </c>
      <c r="L202" s="1">
        <v>117489.88</v>
      </c>
      <c r="M202" s="1">
        <v>14930.93</v>
      </c>
      <c r="N202" s="1">
        <v>59.99</v>
      </c>
      <c r="O202" t="s">
        <v>57</v>
      </c>
      <c r="P202">
        <v>5</v>
      </c>
      <c r="Q202" t="b">
        <v>1</v>
      </c>
      <c r="R202" t="s">
        <v>9</v>
      </c>
      <c r="S202">
        <v>10</v>
      </c>
      <c r="T202" t="e">
        <f>IF(#REF!&lt;=25, "Young Age", IF(#REF!&lt;=40, "Mid Age", "Old Age"))</f>
        <v>#REF!</v>
      </c>
      <c r="U202" t="str">
        <f t="shared" si="3"/>
        <v>Over Delayed</v>
      </c>
    </row>
    <row r="203" spans="1:21" x14ac:dyDescent="0.35">
      <c r="A203" t="s">
        <v>555</v>
      </c>
      <c r="B203" s="13">
        <v>45100</v>
      </c>
      <c r="C203" t="s">
        <v>556</v>
      </c>
      <c r="D203" t="s">
        <v>3</v>
      </c>
      <c r="E203" t="s">
        <v>14</v>
      </c>
      <c r="F203" t="s">
        <v>22</v>
      </c>
      <c r="G203" t="s">
        <v>16</v>
      </c>
      <c r="H203" t="s">
        <v>557</v>
      </c>
      <c r="I203">
        <v>8</v>
      </c>
      <c r="J203" s="1">
        <v>1976.85</v>
      </c>
      <c r="K203">
        <v>0.3</v>
      </c>
      <c r="L203" s="1">
        <v>17609.099999999999</v>
      </c>
      <c r="M203" s="1">
        <v>8544.51</v>
      </c>
      <c r="N203" s="1">
        <v>81.44</v>
      </c>
      <c r="O203" t="s">
        <v>8</v>
      </c>
      <c r="P203">
        <v>4</v>
      </c>
      <c r="Q203" t="b">
        <v>0</v>
      </c>
      <c r="R203" t="s">
        <v>18</v>
      </c>
      <c r="S203">
        <v>6</v>
      </c>
      <c r="T203" t="e">
        <f>IF(#REF!&lt;=25, "Young Age", IF(#REF!&lt;=40, "Mid Age", "Old Age"))</f>
        <v>#REF!</v>
      </c>
      <c r="U203" t="str">
        <f t="shared" si="3"/>
        <v>Delayed</v>
      </c>
    </row>
    <row r="204" spans="1:21" x14ac:dyDescent="0.35">
      <c r="A204" t="s">
        <v>558</v>
      </c>
      <c r="B204" s="13">
        <v>44065</v>
      </c>
      <c r="C204" t="s">
        <v>559</v>
      </c>
      <c r="D204" t="s">
        <v>13</v>
      </c>
      <c r="E204" t="s">
        <v>61</v>
      </c>
      <c r="F204" t="s">
        <v>62</v>
      </c>
      <c r="G204" t="s">
        <v>16</v>
      </c>
      <c r="H204" t="s">
        <v>80</v>
      </c>
      <c r="I204">
        <v>1</v>
      </c>
      <c r="J204" s="1">
        <v>357.7</v>
      </c>
      <c r="K204">
        <v>0.24</v>
      </c>
      <c r="L204" s="1">
        <v>286.61</v>
      </c>
      <c r="M204" s="1">
        <v>137.44999999999999</v>
      </c>
      <c r="N204" s="1">
        <v>95.23</v>
      </c>
      <c r="O204" t="s">
        <v>49</v>
      </c>
      <c r="P204">
        <v>3</v>
      </c>
      <c r="Q204" t="b">
        <v>0</v>
      </c>
      <c r="R204" t="s">
        <v>18</v>
      </c>
      <c r="S204">
        <v>1</v>
      </c>
      <c r="T204" t="e">
        <f>IF(#REF!&lt;=25, "Young Age", IF(#REF!&lt;=40, "Mid Age", "Old Age"))</f>
        <v>#REF!</v>
      </c>
      <c r="U204" t="str">
        <f t="shared" si="3"/>
        <v>Okay</v>
      </c>
    </row>
    <row r="205" spans="1:21" x14ac:dyDescent="0.35">
      <c r="A205" t="s">
        <v>560</v>
      </c>
      <c r="B205" s="13">
        <v>44680</v>
      </c>
      <c r="C205" t="s">
        <v>561</v>
      </c>
      <c r="D205" t="s">
        <v>13</v>
      </c>
      <c r="E205" t="s">
        <v>14</v>
      </c>
      <c r="F205" t="s">
        <v>15</v>
      </c>
      <c r="G205" t="s">
        <v>6</v>
      </c>
      <c r="H205" t="s">
        <v>7</v>
      </c>
      <c r="I205">
        <v>10</v>
      </c>
      <c r="J205" s="1">
        <v>321.33999999999997</v>
      </c>
      <c r="K205">
        <v>0.16</v>
      </c>
      <c r="L205" s="1">
        <v>4232.71</v>
      </c>
      <c r="M205" s="1">
        <v>408.89</v>
      </c>
      <c r="N205" s="1">
        <v>47.89</v>
      </c>
      <c r="O205" t="s">
        <v>49</v>
      </c>
      <c r="P205">
        <v>1</v>
      </c>
      <c r="Q205" t="b">
        <v>0</v>
      </c>
      <c r="R205" t="s">
        <v>175</v>
      </c>
      <c r="S205">
        <v>9</v>
      </c>
      <c r="T205" t="e">
        <f>IF(#REF!&lt;=25, "Young Age", IF(#REF!&lt;=40, "Mid Age", "Old Age"))</f>
        <v>#REF!</v>
      </c>
      <c r="U205" t="str">
        <f t="shared" si="3"/>
        <v>Over Delayed</v>
      </c>
    </row>
    <row r="206" spans="1:21" x14ac:dyDescent="0.35">
      <c r="A206" t="s">
        <v>562</v>
      </c>
      <c r="B206" s="13">
        <v>45560</v>
      </c>
      <c r="C206" t="s">
        <v>563</v>
      </c>
      <c r="D206" t="s">
        <v>3</v>
      </c>
      <c r="E206" t="s">
        <v>53</v>
      </c>
      <c r="F206" t="s">
        <v>54</v>
      </c>
      <c r="G206" t="s">
        <v>55</v>
      </c>
      <c r="H206" t="s">
        <v>100</v>
      </c>
      <c r="I206">
        <v>1</v>
      </c>
      <c r="J206" s="1">
        <v>2472.06</v>
      </c>
      <c r="K206">
        <v>0.23</v>
      </c>
      <c r="L206" s="1">
        <v>2559.11</v>
      </c>
      <c r="M206" s="1">
        <v>756.36</v>
      </c>
      <c r="N206" s="1">
        <v>57.21</v>
      </c>
      <c r="O206" t="s">
        <v>36</v>
      </c>
      <c r="P206">
        <v>5</v>
      </c>
      <c r="Q206" t="b">
        <v>0</v>
      </c>
      <c r="R206" t="s">
        <v>18</v>
      </c>
      <c r="S206">
        <v>10</v>
      </c>
      <c r="T206" t="e">
        <f>IF(#REF!&lt;=25, "Young Age", IF(#REF!&lt;=40, "Mid Age", "Old Age"))</f>
        <v>#REF!</v>
      </c>
      <c r="U206" t="str">
        <f t="shared" si="3"/>
        <v>Over Delayed</v>
      </c>
    </row>
    <row r="207" spans="1:21" x14ac:dyDescent="0.35">
      <c r="A207" t="s">
        <v>564</v>
      </c>
      <c r="B207" s="13">
        <v>45075</v>
      </c>
      <c r="C207" t="s">
        <v>565</v>
      </c>
      <c r="D207" t="s">
        <v>47</v>
      </c>
      <c r="E207" t="s">
        <v>53</v>
      </c>
      <c r="F207" t="s">
        <v>170</v>
      </c>
      <c r="G207" t="s">
        <v>23</v>
      </c>
      <c r="H207" t="s">
        <v>29</v>
      </c>
      <c r="I207">
        <v>4</v>
      </c>
      <c r="J207" s="1">
        <v>25915.33</v>
      </c>
      <c r="K207">
        <v>0.11</v>
      </c>
      <c r="L207" s="1">
        <v>132743.41</v>
      </c>
      <c r="M207" s="1">
        <v>29427.55</v>
      </c>
      <c r="N207" s="1">
        <v>58.32</v>
      </c>
      <c r="O207" t="s">
        <v>8</v>
      </c>
      <c r="P207">
        <v>5</v>
      </c>
      <c r="Q207" t="b">
        <v>0</v>
      </c>
      <c r="R207" t="s">
        <v>18</v>
      </c>
      <c r="S207">
        <v>10</v>
      </c>
      <c r="T207" t="e">
        <f>IF(#REF!&lt;=25, "Young Age", IF(#REF!&lt;=40, "Mid Age", "Old Age"))</f>
        <v>#REF!</v>
      </c>
      <c r="U207" t="str">
        <f t="shared" si="3"/>
        <v>Over Delayed</v>
      </c>
    </row>
    <row r="208" spans="1:21" x14ac:dyDescent="0.35">
      <c r="A208" t="s">
        <v>566</v>
      </c>
      <c r="B208" s="13">
        <v>44004</v>
      </c>
      <c r="C208" t="s">
        <v>567</v>
      </c>
      <c r="D208" t="s">
        <v>3</v>
      </c>
      <c r="E208" t="s">
        <v>53</v>
      </c>
      <c r="F208" t="s">
        <v>114</v>
      </c>
      <c r="G208" t="s">
        <v>55</v>
      </c>
      <c r="H208" t="s">
        <v>91</v>
      </c>
      <c r="I208">
        <v>7</v>
      </c>
      <c r="J208" s="1">
        <v>2701.8</v>
      </c>
      <c r="K208">
        <v>0.09</v>
      </c>
      <c r="L208" s="1">
        <v>22364.16</v>
      </c>
      <c r="M208" s="1">
        <v>8609.23</v>
      </c>
      <c r="N208" s="1">
        <v>56.32</v>
      </c>
      <c r="O208" t="s">
        <v>43</v>
      </c>
      <c r="P208">
        <v>5</v>
      </c>
      <c r="Q208" t="b">
        <v>1</v>
      </c>
      <c r="R208" t="s">
        <v>9</v>
      </c>
      <c r="S208">
        <v>2</v>
      </c>
      <c r="T208" t="e">
        <f>IF(#REF!&lt;=25, "Young Age", IF(#REF!&lt;=40, "Mid Age", "Old Age"))</f>
        <v>#REF!</v>
      </c>
      <c r="U208" t="str">
        <f t="shared" si="3"/>
        <v>Okay</v>
      </c>
    </row>
    <row r="209" spans="1:21" x14ac:dyDescent="0.35">
      <c r="A209" t="s">
        <v>568</v>
      </c>
      <c r="B209" s="13">
        <v>45462</v>
      </c>
      <c r="C209" t="s">
        <v>569</v>
      </c>
      <c r="D209" t="s">
        <v>3</v>
      </c>
      <c r="E209" t="s">
        <v>61</v>
      </c>
      <c r="F209" t="s">
        <v>271</v>
      </c>
      <c r="G209" t="s">
        <v>55</v>
      </c>
      <c r="H209" t="s">
        <v>110</v>
      </c>
      <c r="I209">
        <v>4</v>
      </c>
      <c r="J209" s="1">
        <v>2577.39</v>
      </c>
      <c r="K209">
        <v>0.11</v>
      </c>
      <c r="L209" s="1">
        <v>15407.9</v>
      </c>
      <c r="M209" s="1">
        <v>5412.09</v>
      </c>
      <c r="N209" s="1">
        <v>58.52</v>
      </c>
      <c r="O209" t="s">
        <v>57</v>
      </c>
      <c r="P209">
        <v>2</v>
      </c>
      <c r="Q209" t="b">
        <v>0</v>
      </c>
      <c r="R209" t="s">
        <v>18</v>
      </c>
      <c r="S209">
        <v>1</v>
      </c>
      <c r="T209" t="e">
        <f>IF(#REF!&lt;=25, "Young Age", IF(#REF!&lt;=40, "Mid Age", "Old Age"))</f>
        <v>#REF!</v>
      </c>
      <c r="U209" t="str">
        <f t="shared" si="3"/>
        <v>Okay</v>
      </c>
    </row>
    <row r="210" spans="1:21" x14ac:dyDescent="0.35">
      <c r="A210" t="s">
        <v>570</v>
      </c>
      <c r="B210" s="13">
        <v>45203</v>
      </c>
      <c r="C210" t="s">
        <v>571</v>
      </c>
      <c r="D210" t="s">
        <v>13</v>
      </c>
      <c r="E210" t="s">
        <v>14</v>
      </c>
      <c r="F210" t="s">
        <v>22</v>
      </c>
      <c r="G210" t="s">
        <v>6</v>
      </c>
      <c r="H210" t="s">
        <v>75</v>
      </c>
      <c r="I210">
        <v>4</v>
      </c>
      <c r="J210" s="1">
        <v>309.85000000000002</v>
      </c>
      <c r="K210">
        <v>0.04</v>
      </c>
      <c r="L210" s="1">
        <v>1375.7</v>
      </c>
      <c r="M210" s="1">
        <v>128.93</v>
      </c>
      <c r="N210" s="1">
        <v>73.63</v>
      </c>
      <c r="O210" t="s">
        <v>57</v>
      </c>
      <c r="P210">
        <v>4</v>
      </c>
      <c r="Q210" t="b">
        <v>1</v>
      </c>
      <c r="R210" t="s">
        <v>9</v>
      </c>
      <c r="S210">
        <v>5</v>
      </c>
      <c r="T210" t="e">
        <f>IF(#REF!&lt;=25, "Young Age", IF(#REF!&lt;=40, "Mid Age", "Old Age"))</f>
        <v>#REF!</v>
      </c>
      <c r="U210" t="str">
        <f t="shared" si="3"/>
        <v>Delayed</v>
      </c>
    </row>
    <row r="211" spans="1:21" x14ac:dyDescent="0.35">
      <c r="A211" t="s">
        <v>572</v>
      </c>
      <c r="B211" s="13">
        <v>44171</v>
      </c>
      <c r="C211" t="s">
        <v>573</v>
      </c>
      <c r="D211" t="s">
        <v>3</v>
      </c>
      <c r="E211" t="s">
        <v>4</v>
      </c>
      <c r="F211" t="s">
        <v>34</v>
      </c>
      <c r="G211" t="s">
        <v>55</v>
      </c>
      <c r="H211" t="s">
        <v>100</v>
      </c>
      <c r="I211">
        <v>8</v>
      </c>
      <c r="J211" s="1">
        <v>2574.11</v>
      </c>
      <c r="K211">
        <v>0.12</v>
      </c>
      <c r="L211" s="1">
        <v>12273.11</v>
      </c>
      <c r="M211" s="1">
        <v>5629.65</v>
      </c>
      <c r="N211" s="1">
        <v>67.94</v>
      </c>
      <c r="O211" t="s">
        <v>49</v>
      </c>
      <c r="P211">
        <v>5</v>
      </c>
      <c r="Q211" t="b">
        <v>1</v>
      </c>
      <c r="R211" t="s">
        <v>9</v>
      </c>
      <c r="S211">
        <v>10</v>
      </c>
      <c r="T211" t="e">
        <f>IF(#REF!&lt;=25, "Young Age", IF(#REF!&lt;=40, "Mid Age", "Old Age"))</f>
        <v>#REF!</v>
      </c>
      <c r="U211" t="str">
        <f t="shared" si="3"/>
        <v>Over Delayed</v>
      </c>
    </row>
    <row r="212" spans="1:21" x14ac:dyDescent="0.35">
      <c r="A212" t="s">
        <v>574</v>
      </c>
      <c r="B212" s="13">
        <v>43851</v>
      </c>
      <c r="C212" t="s">
        <v>575</v>
      </c>
      <c r="D212" t="s">
        <v>3</v>
      </c>
      <c r="E212" t="s">
        <v>61</v>
      </c>
      <c r="F212" t="s">
        <v>104</v>
      </c>
      <c r="G212" t="s">
        <v>16</v>
      </c>
      <c r="H212" t="s">
        <v>80</v>
      </c>
      <c r="I212">
        <v>9</v>
      </c>
      <c r="J212" s="1">
        <v>1931.61</v>
      </c>
      <c r="K212">
        <v>0.35</v>
      </c>
      <c r="L212" s="1">
        <v>10532.18</v>
      </c>
      <c r="M212" s="1">
        <v>5257.88</v>
      </c>
      <c r="N212" s="1">
        <v>98.73</v>
      </c>
      <c r="O212" t="s">
        <v>36</v>
      </c>
      <c r="P212">
        <v>5</v>
      </c>
      <c r="Q212" t="b">
        <v>0</v>
      </c>
      <c r="R212" t="s">
        <v>18</v>
      </c>
      <c r="S212">
        <v>3</v>
      </c>
      <c r="T212" t="e">
        <f>IF(#REF!&lt;=25, "Young Age", IF(#REF!&lt;=40, "Mid Age", "Old Age"))</f>
        <v>#REF!</v>
      </c>
      <c r="U212" t="str">
        <f t="shared" si="3"/>
        <v>Okay</v>
      </c>
    </row>
    <row r="213" spans="1:21" x14ac:dyDescent="0.35">
      <c r="A213" t="s">
        <v>576</v>
      </c>
      <c r="B213" s="13">
        <v>44470</v>
      </c>
      <c r="C213" t="s">
        <v>577</v>
      </c>
      <c r="D213" t="s">
        <v>13</v>
      </c>
      <c r="E213" t="s">
        <v>4</v>
      </c>
      <c r="F213" t="s">
        <v>5</v>
      </c>
      <c r="G213" t="s">
        <v>124</v>
      </c>
      <c r="H213" t="s">
        <v>254</v>
      </c>
      <c r="I213">
        <v>3</v>
      </c>
      <c r="J213" s="1">
        <v>13585.06</v>
      </c>
      <c r="K213">
        <v>0.33</v>
      </c>
      <c r="L213" s="1">
        <v>26055.86</v>
      </c>
      <c r="M213" s="1">
        <v>5488.23</v>
      </c>
      <c r="N213" s="1">
        <v>62.01</v>
      </c>
      <c r="O213" t="s">
        <v>30</v>
      </c>
      <c r="P213">
        <v>5</v>
      </c>
      <c r="Q213" t="b">
        <v>0</v>
      </c>
      <c r="R213" t="s">
        <v>578</v>
      </c>
      <c r="S213">
        <v>2</v>
      </c>
      <c r="T213" t="e">
        <f>IF(#REF!&lt;=25, "Young Age", IF(#REF!&lt;=40, "Mid Age", "Old Age"))</f>
        <v>#REF!</v>
      </c>
      <c r="U213" t="str">
        <f t="shared" si="3"/>
        <v>Okay</v>
      </c>
    </row>
    <row r="214" spans="1:21" x14ac:dyDescent="0.35">
      <c r="A214" t="s">
        <v>579</v>
      </c>
      <c r="B214" s="13">
        <v>45362</v>
      </c>
      <c r="C214" t="s">
        <v>580</v>
      </c>
      <c r="D214" t="s">
        <v>13</v>
      </c>
      <c r="E214" t="s">
        <v>61</v>
      </c>
      <c r="F214" t="s">
        <v>104</v>
      </c>
      <c r="G214" t="s">
        <v>55</v>
      </c>
      <c r="H214" t="s">
        <v>91</v>
      </c>
      <c r="I214">
        <v>2</v>
      </c>
      <c r="J214" s="1">
        <v>1543.23</v>
      </c>
      <c r="K214">
        <v>0.26</v>
      </c>
      <c r="L214" s="1">
        <v>3196.43</v>
      </c>
      <c r="M214" s="1">
        <v>1291.0999999999999</v>
      </c>
      <c r="N214" s="1">
        <v>71.02</v>
      </c>
      <c r="O214" t="s">
        <v>57</v>
      </c>
      <c r="P214">
        <v>5</v>
      </c>
      <c r="Q214" t="b">
        <v>0</v>
      </c>
      <c r="R214" t="s">
        <v>18</v>
      </c>
      <c r="S214">
        <v>6</v>
      </c>
      <c r="T214" t="e">
        <f>IF(#REF!&lt;=25, "Young Age", IF(#REF!&lt;=40, "Mid Age", "Old Age"))</f>
        <v>#REF!</v>
      </c>
      <c r="U214" t="str">
        <f t="shared" si="3"/>
        <v>Delayed</v>
      </c>
    </row>
    <row r="215" spans="1:21" x14ac:dyDescent="0.35">
      <c r="A215" t="s">
        <v>581</v>
      </c>
      <c r="B215" s="13">
        <v>44862</v>
      </c>
      <c r="C215" t="s">
        <v>582</v>
      </c>
      <c r="D215" t="s">
        <v>47</v>
      </c>
      <c r="E215" t="s">
        <v>14</v>
      </c>
      <c r="F215" t="s">
        <v>84</v>
      </c>
      <c r="G215" t="s">
        <v>124</v>
      </c>
      <c r="H215" t="s">
        <v>125</v>
      </c>
      <c r="I215">
        <v>1</v>
      </c>
      <c r="J215" s="1">
        <v>14172.12</v>
      </c>
      <c r="K215">
        <v>0.14000000000000001</v>
      </c>
      <c r="L215" s="1">
        <v>12312.75</v>
      </c>
      <c r="M215" s="1">
        <v>2055.13</v>
      </c>
      <c r="N215" s="1">
        <v>79.52</v>
      </c>
      <c r="O215" t="s">
        <v>30</v>
      </c>
      <c r="P215">
        <v>5</v>
      </c>
      <c r="Q215" t="b">
        <v>0</v>
      </c>
      <c r="R215" t="s">
        <v>18</v>
      </c>
      <c r="S215">
        <v>6</v>
      </c>
      <c r="T215" t="e">
        <f>IF(#REF!&lt;=25, "Young Age", IF(#REF!&lt;=40, "Mid Age", "Old Age"))</f>
        <v>#REF!</v>
      </c>
      <c r="U215" t="str">
        <f t="shared" si="3"/>
        <v>Delayed</v>
      </c>
    </row>
    <row r="216" spans="1:21" x14ac:dyDescent="0.35">
      <c r="A216" t="s">
        <v>583</v>
      </c>
      <c r="B216" s="13">
        <v>44099</v>
      </c>
      <c r="C216" t="s">
        <v>584</v>
      </c>
      <c r="D216" t="s">
        <v>13</v>
      </c>
      <c r="E216" t="s">
        <v>89</v>
      </c>
      <c r="F216" t="s">
        <v>90</v>
      </c>
      <c r="G216" t="s">
        <v>41</v>
      </c>
      <c r="H216" t="s">
        <v>261</v>
      </c>
      <c r="I216">
        <v>7</v>
      </c>
      <c r="J216" s="1">
        <v>298.01</v>
      </c>
      <c r="K216">
        <v>0.2</v>
      </c>
      <c r="L216" s="1">
        <v>1735.77</v>
      </c>
      <c r="M216" s="1">
        <v>683.51</v>
      </c>
      <c r="N216" s="1">
        <v>71.67</v>
      </c>
      <c r="O216" t="s">
        <v>30</v>
      </c>
      <c r="P216">
        <v>2</v>
      </c>
      <c r="Q216" t="b">
        <v>1</v>
      </c>
      <c r="R216" t="s">
        <v>9</v>
      </c>
      <c r="S216">
        <v>2</v>
      </c>
      <c r="T216" t="e">
        <f>IF(#REF!&lt;=25, "Young Age", IF(#REF!&lt;=40, "Mid Age", "Old Age"))</f>
        <v>#REF!</v>
      </c>
      <c r="U216" t="str">
        <f t="shared" si="3"/>
        <v>Okay</v>
      </c>
    </row>
    <row r="217" spans="1:21" x14ac:dyDescent="0.35">
      <c r="A217" t="s">
        <v>585</v>
      </c>
      <c r="B217" s="13">
        <v>43978</v>
      </c>
      <c r="C217" t="s">
        <v>586</v>
      </c>
      <c r="D217" t="s">
        <v>3</v>
      </c>
      <c r="E217" t="s">
        <v>14</v>
      </c>
      <c r="F217" t="s">
        <v>84</v>
      </c>
      <c r="G217" t="s">
        <v>23</v>
      </c>
      <c r="H217" t="s">
        <v>71</v>
      </c>
      <c r="I217">
        <v>10</v>
      </c>
      <c r="J217" s="1">
        <v>2690.93</v>
      </c>
      <c r="K217">
        <v>0.35</v>
      </c>
      <c r="L217" s="1">
        <v>23373.24</v>
      </c>
      <c r="M217" s="1">
        <v>7410.64</v>
      </c>
      <c r="N217" s="1">
        <v>43.86</v>
      </c>
      <c r="O217" t="s">
        <v>57</v>
      </c>
      <c r="P217">
        <v>4</v>
      </c>
      <c r="Q217" t="b">
        <v>1</v>
      </c>
      <c r="R217" t="s">
        <v>9</v>
      </c>
      <c r="S217">
        <v>4</v>
      </c>
      <c r="T217" t="e">
        <f>IF(#REF!&lt;=25, "Young Age", IF(#REF!&lt;=40, "Mid Age", "Old Age"))</f>
        <v>#REF!</v>
      </c>
      <c r="U217" t="str">
        <f t="shared" si="3"/>
        <v>Okay</v>
      </c>
    </row>
    <row r="218" spans="1:21" x14ac:dyDescent="0.35">
      <c r="A218" t="s">
        <v>587</v>
      </c>
      <c r="B218" s="13">
        <v>45058</v>
      </c>
      <c r="C218" t="s">
        <v>588</v>
      </c>
      <c r="D218" t="s">
        <v>3</v>
      </c>
      <c r="E218" t="s">
        <v>4</v>
      </c>
      <c r="F218" t="s">
        <v>5</v>
      </c>
      <c r="G218" t="s">
        <v>6</v>
      </c>
      <c r="H218" t="s">
        <v>353</v>
      </c>
      <c r="I218">
        <v>1</v>
      </c>
      <c r="J218" s="1">
        <v>380.33</v>
      </c>
      <c r="K218">
        <v>0.2</v>
      </c>
      <c r="L218" s="1">
        <v>506.19</v>
      </c>
      <c r="M218" s="1">
        <v>44.82</v>
      </c>
      <c r="N218" s="1">
        <v>61.88</v>
      </c>
      <c r="O218" t="s">
        <v>57</v>
      </c>
      <c r="P218" t="s">
        <v>2149</v>
      </c>
      <c r="Q218" t="b">
        <v>0</v>
      </c>
      <c r="R218" t="s">
        <v>18</v>
      </c>
      <c r="S218" t="s">
        <v>2149</v>
      </c>
      <c r="T218" t="e">
        <f>IF(#REF!&lt;=25, "Young Age", IF(#REF!&lt;=40, "Mid Age", "Old Age"))</f>
        <v>#REF!</v>
      </c>
      <c r="U218" t="str">
        <f t="shared" si="3"/>
        <v>Over Delayed</v>
      </c>
    </row>
    <row r="219" spans="1:21" x14ac:dyDescent="0.35">
      <c r="A219" t="s">
        <v>589</v>
      </c>
      <c r="B219" s="13">
        <v>44414</v>
      </c>
      <c r="C219" t="s">
        <v>590</v>
      </c>
      <c r="D219" t="s">
        <v>47</v>
      </c>
      <c r="E219" t="s">
        <v>14</v>
      </c>
      <c r="F219" t="s">
        <v>22</v>
      </c>
      <c r="G219" t="s">
        <v>16</v>
      </c>
      <c r="H219" t="s">
        <v>80</v>
      </c>
      <c r="I219">
        <v>3</v>
      </c>
      <c r="J219" s="1">
        <v>1302.9000000000001</v>
      </c>
      <c r="K219">
        <v>0.23</v>
      </c>
      <c r="L219" s="1">
        <v>4258.29</v>
      </c>
      <c r="M219" s="1">
        <v>1724.59</v>
      </c>
      <c r="N219" s="1">
        <v>82.26</v>
      </c>
      <c r="O219" t="s">
        <v>57</v>
      </c>
      <c r="P219">
        <v>2</v>
      </c>
      <c r="Q219" t="b">
        <v>0</v>
      </c>
      <c r="R219" t="s">
        <v>63</v>
      </c>
      <c r="S219">
        <v>5</v>
      </c>
      <c r="T219" t="e">
        <f>IF(#REF!&lt;=25, "Young Age", IF(#REF!&lt;=40, "Mid Age", "Old Age"))</f>
        <v>#REF!</v>
      </c>
      <c r="U219" t="str">
        <f t="shared" si="3"/>
        <v>Delayed</v>
      </c>
    </row>
    <row r="220" spans="1:21" x14ac:dyDescent="0.35">
      <c r="A220" t="s">
        <v>591</v>
      </c>
      <c r="B220" s="13">
        <v>45300</v>
      </c>
      <c r="C220" t="s">
        <v>592</v>
      </c>
      <c r="D220" t="s">
        <v>13</v>
      </c>
      <c r="E220" t="s">
        <v>53</v>
      </c>
      <c r="F220" t="s">
        <v>79</v>
      </c>
      <c r="G220" t="s">
        <v>105</v>
      </c>
      <c r="H220" t="s">
        <v>282</v>
      </c>
      <c r="I220">
        <v>4</v>
      </c>
      <c r="J220" s="1">
        <v>13215.16</v>
      </c>
      <c r="K220">
        <v>0.15</v>
      </c>
      <c r="L220" s="1">
        <v>41177.25</v>
      </c>
      <c r="M220" s="1">
        <v>3874.92</v>
      </c>
      <c r="N220" s="1">
        <v>36.17</v>
      </c>
      <c r="O220" t="s">
        <v>36</v>
      </c>
      <c r="P220">
        <v>2</v>
      </c>
      <c r="Q220" t="b">
        <v>0</v>
      </c>
      <c r="R220" t="s">
        <v>18</v>
      </c>
      <c r="S220">
        <v>3</v>
      </c>
      <c r="T220" t="e">
        <f>IF(#REF!&lt;=25, "Young Age", IF(#REF!&lt;=40, "Mid Age", "Old Age"))</f>
        <v>#REF!</v>
      </c>
      <c r="U220" t="str">
        <f t="shared" si="3"/>
        <v>Okay</v>
      </c>
    </row>
    <row r="221" spans="1:21" x14ac:dyDescent="0.35">
      <c r="A221" t="s">
        <v>593</v>
      </c>
      <c r="B221" s="13">
        <v>45346</v>
      </c>
      <c r="C221" t="s">
        <v>594</v>
      </c>
      <c r="D221" t="s">
        <v>47</v>
      </c>
      <c r="E221" t="s">
        <v>61</v>
      </c>
      <c r="F221" t="s">
        <v>104</v>
      </c>
      <c r="G221" t="s">
        <v>55</v>
      </c>
      <c r="H221" t="s">
        <v>56</v>
      </c>
      <c r="I221">
        <v>5</v>
      </c>
      <c r="J221" s="1">
        <v>3018.53</v>
      </c>
      <c r="K221">
        <v>0.26</v>
      </c>
      <c r="L221" s="1">
        <v>13152.75</v>
      </c>
      <c r="M221" s="1">
        <v>5208.9399999999996</v>
      </c>
      <c r="N221" s="1">
        <v>73.33</v>
      </c>
      <c r="O221" t="s">
        <v>49</v>
      </c>
      <c r="P221">
        <v>1</v>
      </c>
      <c r="Q221" t="b">
        <v>0</v>
      </c>
      <c r="R221" t="s">
        <v>115</v>
      </c>
      <c r="S221">
        <v>4</v>
      </c>
      <c r="T221" t="e">
        <f>IF(#REF!&lt;=25, "Young Age", IF(#REF!&lt;=40, "Mid Age", "Old Age"))</f>
        <v>#REF!</v>
      </c>
      <c r="U221" t="str">
        <f t="shared" si="3"/>
        <v>Okay</v>
      </c>
    </row>
    <row r="222" spans="1:21" x14ac:dyDescent="0.35">
      <c r="A222" t="s">
        <v>595</v>
      </c>
      <c r="B222" s="13">
        <v>45212</v>
      </c>
      <c r="C222" t="s">
        <v>596</v>
      </c>
      <c r="D222" t="s">
        <v>13</v>
      </c>
      <c r="E222" t="s">
        <v>89</v>
      </c>
      <c r="F222" t="s">
        <v>299</v>
      </c>
      <c r="G222" t="s">
        <v>16</v>
      </c>
      <c r="H222" t="s">
        <v>557</v>
      </c>
      <c r="I222">
        <v>4</v>
      </c>
      <c r="J222" s="1">
        <v>817.47</v>
      </c>
      <c r="K222">
        <v>0.24</v>
      </c>
      <c r="L222" s="1">
        <v>2848.99</v>
      </c>
      <c r="M222" s="1">
        <v>1431.62</v>
      </c>
      <c r="N222" s="1">
        <v>61.6</v>
      </c>
      <c r="O222" t="s">
        <v>8</v>
      </c>
      <c r="P222">
        <v>5</v>
      </c>
      <c r="Q222" t="b">
        <v>0</v>
      </c>
      <c r="R222" t="s">
        <v>63</v>
      </c>
      <c r="S222">
        <v>2</v>
      </c>
      <c r="T222" t="e">
        <f>IF(#REF!&lt;=25, "Young Age", IF(#REF!&lt;=40, "Mid Age", "Old Age"))</f>
        <v>#REF!</v>
      </c>
      <c r="U222" t="str">
        <f t="shared" si="3"/>
        <v>Okay</v>
      </c>
    </row>
    <row r="223" spans="1:21" x14ac:dyDescent="0.35">
      <c r="A223" t="s">
        <v>597</v>
      </c>
      <c r="B223" s="13">
        <v>43912</v>
      </c>
      <c r="C223" t="s">
        <v>598</v>
      </c>
      <c r="D223" t="s">
        <v>3</v>
      </c>
      <c r="E223" t="s">
        <v>4</v>
      </c>
      <c r="F223" t="s">
        <v>5</v>
      </c>
      <c r="G223" t="s">
        <v>16</v>
      </c>
      <c r="H223" t="s">
        <v>17</v>
      </c>
      <c r="I223">
        <v>9</v>
      </c>
      <c r="J223" s="1">
        <v>646.01</v>
      </c>
      <c r="K223">
        <v>0.38</v>
      </c>
      <c r="L223" s="1">
        <v>3807.56</v>
      </c>
      <c r="M223" s="1">
        <v>1281.8399999999999</v>
      </c>
      <c r="N223" s="1">
        <v>51.72</v>
      </c>
      <c r="O223" t="s">
        <v>49</v>
      </c>
      <c r="P223">
        <v>2</v>
      </c>
      <c r="Q223" t="b">
        <v>0</v>
      </c>
      <c r="R223" t="s">
        <v>37</v>
      </c>
      <c r="S223">
        <v>3</v>
      </c>
      <c r="T223" t="e">
        <f>IF(#REF!&lt;=25, "Young Age", IF(#REF!&lt;=40, "Mid Age", "Old Age"))</f>
        <v>#REF!</v>
      </c>
      <c r="U223" t="str">
        <f t="shared" si="3"/>
        <v>Okay</v>
      </c>
    </row>
    <row r="224" spans="1:21" x14ac:dyDescent="0.35">
      <c r="A224" t="s">
        <v>599</v>
      </c>
      <c r="B224" s="13">
        <v>45034</v>
      </c>
      <c r="C224" t="s">
        <v>600</v>
      </c>
      <c r="D224" t="s">
        <v>47</v>
      </c>
      <c r="E224" t="s">
        <v>61</v>
      </c>
      <c r="F224" t="s">
        <v>222</v>
      </c>
      <c r="G224" t="s">
        <v>16</v>
      </c>
      <c r="H224" t="s">
        <v>209</v>
      </c>
      <c r="I224">
        <v>1</v>
      </c>
      <c r="J224" s="1">
        <v>588.9</v>
      </c>
      <c r="K224">
        <v>0.03</v>
      </c>
      <c r="L224" s="1">
        <v>804.15</v>
      </c>
      <c r="M224" s="1">
        <v>359.5</v>
      </c>
      <c r="N224" s="1">
        <v>76.290000000000006</v>
      </c>
      <c r="O224" t="s">
        <v>36</v>
      </c>
      <c r="P224">
        <v>5</v>
      </c>
      <c r="Q224" t="b">
        <v>0</v>
      </c>
      <c r="R224" t="s">
        <v>18</v>
      </c>
      <c r="S224">
        <v>5</v>
      </c>
      <c r="T224" t="e">
        <f>IF(#REF!&lt;=25, "Young Age", IF(#REF!&lt;=40, "Mid Age", "Old Age"))</f>
        <v>#REF!</v>
      </c>
      <c r="U224" t="str">
        <f t="shared" si="3"/>
        <v>Delayed</v>
      </c>
    </row>
    <row r="225" spans="1:21" x14ac:dyDescent="0.35">
      <c r="A225" t="s">
        <v>601</v>
      </c>
      <c r="B225" s="13">
        <v>44383</v>
      </c>
      <c r="C225" t="s">
        <v>602</v>
      </c>
      <c r="D225" t="s">
        <v>13</v>
      </c>
      <c r="E225" t="s">
        <v>4</v>
      </c>
      <c r="F225" t="s">
        <v>48</v>
      </c>
      <c r="G225" t="s">
        <v>55</v>
      </c>
      <c r="H225" t="s">
        <v>91</v>
      </c>
      <c r="I225">
        <v>6</v>
      </c>
      <c r="J225" s="1">
        <v>3032.93</v>
      </c>
      <c r="K225">
        <v>0.08</v>
      </c>
      <c r="L225" s="1">
        <v>25322.69</v>
      </c>
      <c r="M225" s="1">
        <v>10654.04</v>
      </c>
      <c r="N225" s="1">
        <v>27.7</v>
      </c>
      <c r="O225" t="s">
        <v>30</v>
      </c>
      <c r="P225">
        <v>1</v>
      </c>
      <c r="Q225" t="b">
        <v>0</v>
      </c>
      <c r="R225" t="s">
        <v>18</v>
      </c>
      <c r="S225">
        <v>4</v>
      </c>
      <c r="T225" t="e">
        <f>IF(#REF!&lt;=25, "Young Age", IF(#REF!&lt;=40, "Mid Age", "Old Age"))</f>
        <v>#REF!</v>
      </c>
      <c r="U225" t="str">
        <f t="shared" si="3"/>
        <v>Okay</v>
      </c>
    </row>
    <row r="226" spans="1:21" x14ac:dyDescent="0.35">
      <c r="A226" t="s">
        <v>603</v>
      </c>
      <c r="B226" s="13">
        <v>45248</v>
      </c>
      <c r="C226" t="s">
        <v>604</v>
      </c>
      <c r="D226" t="s">
        <v>47</v>
      </c>
      <c r="E226" t="s">
        <v>14</v>
      </c>
      <c r="F226" t="s">
        <v>22</v>
      </c>
      <c r="G226" t="s">
        <v>124</v>
      </c>
      <c r="H226" t="s">
        <v>413</v>
      </c>
      <c r="I226">
        <v>3</v>
      </c>
      <c r="J226" s="1">
        <v>14108.02</v>
      </c>
      <c r="K226">
        <v>0.12</v>
      </c>
      <c r="L226" s="1">
        <v>36649.85</v>
      </c>
      <c r="M226" s="1">
        <v>6203.2</v>
      </c>
      <c r="N226" s="1">
        <v>56.58</v>
      </c>
      <c r="O226" t="s">
        <v>30</v>
      </c>
      <c r="P226">
        <v>2</v>
      </c>
      <c r="Q226" t="b">
        <v>0</v>
      </c>
      <c r="R226" t="s">
        <v>18</v>
      </c>
      <c r="S226">
        <v>10</v>
      </c>
      <c r="T226" t="e">
        <f>IF(#REF!&lt;=25, "Young Age", IF(#REF!&lt;=40, "Mid Age", "Old Age"))</f>
        <v>#REF!</v>
      </c>
      <c r="U226" t="str">
        <f t="shared" si="3"/>
        <v>Over Delayed</v>
      </c>
    </row>
    <row r="227" spans="1:21" x14ac:dyDescent="0.35">
      <c r="A227" t="s">
        <v>605</v>
      </c>
      <c r="B227" s="13">
        <v>45238</v>
      </c>
      <c r="C227" t="s">
        <v>606</v>
      </c>
      <c r="D227" t="s">
        <v>47</v>
      </c>
      <c r="E227" t="s">
        <v>89</v>
      </c>
      <c r="F227" t="s">
        <v>119</v>
      </c>
      <c r="G227" t="s">
        <v>6</v>
      </c>
      <c r="H227" t="s">
        <v>35</v>
      </c>
      <c r="I227">
        <v>9</v>
      </c>
      <c r="J227" s="1">
        <v>165.39</v>
      </c>
      <c r="K227">
        <v>0.22</v>
      </c>
      <c r="L227" s="1">
        <v>1080.19</v>
      </c>
      <c r="M227" s="1">
        <v>98.81</v>
      </c>
      <c r="N227" s="1">
        <v>71.09</v>
      </c>
      <c r="O227" t="s">
        <v>43</v>
      </c>
      <c r="P227">
        <v>3</v>
      </c>
      <c r="Q227" t="b">
        <v>0</v>
      </c>
      <c r="R227" t="s">
        <v>18</v>
      </c>
      <c r="S227">
        <v>6</v>
      </c>
      <c r="T227" t="e">
        <f>IF(#REF!&lt;=25, "Young Age", IF(#REF!&lt;=40, "Mid Age", "Old Age"))</f>
        <v>#REF!</v>
      </c>
      <c r="U227" t="str">
        <f t="shared" si="3"/>
        <v>Delayed</v>
      </c>
    </row>
    <row r="228" spans="1:21" x14ac:dyDescent="0.35">
      <c r="A228" t="s">
        <v>607</v>
      </c>
      <c r="B228" s="13">
        <v>44032</v>
      </c>
      <c r="C228" t="s">
        <v>608</v>
      </c>
      <c r="D228" t="s">
        <v>3</v>
      </c>
      <c r="E228" t="s">
        <v>4</v>
      </c>
      <c r="F228" t="s">
        <v>34</v>
      </c>
      <c r="G228" t="s">
        <v>41</v>
      </c>
      <c r="H228" t="s">
        <v>85</v>
      </c>
      <c r="I228">
        <v>4</v>
      </c>
      <c r="J228" s="1">
        <v>313.79000000000002</v>
      </c>
      <c r="K228">
        <v>0.37</v>
      </c>
      <c r="L228" s="1">
        <v>885.78</v>
      </c>
      <c r="M228" s="1">
        <v>369.77</v>
      </c>
      <c r="N228" s="1">
        <v>43.26</v>
      </c>
      <c r="O228" t="s">
        <v>36</v>
      </c>
      <c r="P228">
        <v>2</v>
      </c>
      <c r="Q228" t="b">
        <v>0</v>
      </c>
      <c r="R228" t="s">
        <v>18</v>
      </c>
      <c r="S228" t="s">
        <v>2149</v>
      </c>
      <c r="T228" t="e">
        <f>IF(#REF!&lt;=25, "Young Age", IF(#REF!&lt;=40, "Mid Age", "Old Age"))</f>
        <v>#REF!</v>
      </c>
      <c r="U228" t="str">
        <f t="shared" si="3"/>
        <v>Over Delayed</v>
      </c>
    </row>
    <row r="229" spans="1:21" x14ac:dyDescent="0.35">
      <c r="A229" t="s">
        <v>609</v>
      </c>
      <c r="B229" s="13">
        <v>44838</v>
      </c>
      <c r="C229" t="s">
        <v>610</v>
      </c>
      <c r="D229" t="s">
        <v>3</v>
      </c>
      <c r="E229" t="s">
        <v>89</v>
      </c>
      <c r="F229" t="s">
        <v>90</v>
      </c>
      <c r="G229" t="s">
        <v>6</v>
      </c>
      <c r="H229" t="s">
        <v>75</v>
      </c>
      <c r="I229">
        <v>4</v>
      </c>
      <c r="J229" s="1">
        <v>314.73</v>
      </c>
      <c r="K229">
        <v>0.15</v>
      </c>
      <c r="L229" s="1">
        <v>998.21</v>
      </c>
      <c r="M229" s="1">
        <v>61.22</v>
      </c>
      <c r="N229" s="1">
        <v>79</v>
      </c>
      <c r="O229" t="s">
        <v>43</v>
      </c>
      <c r="P229" t="s">
        <v>2149</v>
      </c>
      <c r="Q229" t="b">
        <v>0</v>
      </c>
      <c r="R229" t="s">
        <v>18</v>
      </c>
      <c r="S229">
        <v>8</v>
      </c>
      <c r="T229" t="e">
        <f>IF(#REF!&lt;=25, "Young Age", IF(#REF!&lt;=40, "Mid Age", "Old Age"))</f>
        <v>#REF!</v>
      </c>
      <c r="U229" t="str">
        <f t="shared" si="3"/>
        <v>Over Delayed</v>
      </c>
    </row>
    <row r="230" spans="1:21" x14ac:dyDescent="0.35">
      <c r="A230" t="s">
        <v>611</v>
      </c>
      <c r="B230" s="13">
        <v>44716</v>
      </c>
      <c r="C230" t="s">
        <v>612</v>
      </c>
      <c r="D230" t="s">
        <v>3</v>
      </c>
      <c r="E230" t="s">
        <v>61</v>
      </c>
      <c r="F230" t="s">
        <v>222</v>
      </c>
      <c r="G230" t="s">
        <v>105</v>
      </c>
      <c r="H230" t="s">
        <v>438</v>
      </c>
      <c r="I230">
        <v>7</v>
      </c>
      <c r="J230" s="1">
        <v>21000.78</v>
      </c>
      <c r="K230">
        <v>0.3</v>
      </c>
      <c r="L230" s="1">
        <v>174189.34</v>
      </c>
      <c r="M230" s="1">
        <v>24923.4</v>
      </c>
      <c r="N230" s="1">
        <v>115.73</v>
      </c>
      <c r="O230" t="s">
        <v>57</v>
      </c>
      <c r="P230">
        <v>5</v>
      </c>
      <c r="Q230" t="b">
        <v>0</v>
      </c>
      <c r="R230" t="s">
        <v>18</v>
      </c>
      <c r="S230">
        <v>6</v>
      </c>
      <c r="T230" t="e">
        <f>IF(#REF!&lt;=25, "Young Age", IF(#REF!&lt;=40, "Mid Age", "Old Age"))</f>
        <v>#REF!</v>
      </c>
      <c r="U230" t="str">
        <f t="shared" si="3"/>
        <v>Delayed</v>
      </c>
    </row>
    <row r="231" spans="1:21" x14ac:dyDescent="0.35">
      <c r="A231" t="s">
        <v>613</v>
      </c>
      <c r="B231" s="13">
        <v>44869</v>
      </c>
      <c r="C231" t="s">
        <v>614</v>
      </c>
      <c r="D231" t="s">
        <v>47</v>
      </c>
      <c r="E231" t="s">
        <v>14</v>
      </c>
      <c r="F231" t="s">
        <v>28</v>
      </c>
      <c r="G231" t="s">
        <v>55</v>
      </c>
      <c r="H231" t="s">
        <v>56</v>
      </c>
      <c r="I231">
        <v>7</v>
      </c>
      <c r="J231" s="1">
        <v>525.25</v>
      </c>
      <c r="K231">
        <v>0.03</v>
      </c>
      <c r="L231" s="1">
        <v>3229.98</v>
      </c>
      <c r="M231" s="1">
        <v>1218.3900000000001</v>
      </c>
      <c r="N231" s="1">
        <v>48.82</v>
      </c>
      <c r="O231" t="s">
        <v>57</v>
      </c>
      <c r="P231">
        <v>4</v>
      </c>
      <c r="Q231" t="b">
        <v>0</v>
      </c>
      <c r="R231" t="s">
        <v>18</v>
      </c>
      <c r="S231">
        <v>8</v>
      </c>
      <c r="T231" t="e">
        <f>IF(#REF!&lt;=25, "Young Age", IF(#REF!&lt;=40, "Mid Age", "Old Age"))</f>
        <v>#REF!</v>
      </c>
      <c r="U231" t="str">
        <f t="shared" si="3"/>
        <v>Over Delayed</v>
      </c>
    </row>
    <row r="232" spans="1:21" x14ac:dyDescent="0.35">
      <c r="A232" t="s">
        <v>615</v>
      </c>
      <c r="B232" s="13">
        <v>45117</v>
      </c>
      <c r="C232" t="s">
        <v>616</v>
      </c>
      <c r="D232" t="s">
        <v>13</v>
      </c>
      <c r="E232" t="s">
        <v>14</v>
      </c>
      <c r="F232" t="s">
        <v>84</v>
      </c>
      <c r="G232" t="s">
        <v>16</v>
      </c>
      <c r="H232" t="s">
        <v>209</v>
      </c>
      <c r="I232">
        <v>9</v>
      </c>
      <c r="J232" s="1">
        <v>108.24</v>
      </c>
      <c r="K232">
        <v>0.18</v>
      </c>
      <c r="L232" s="1">
        <v>1201.96</v>
      </c>
      <c r="M232" s="1">
        <v>569.48</v>
      </c>
      <c r="N232" s="1">
        <v>55.36</v>
      </c>
      <c r="O232" t="s">
        <v>57</v>
      </c>
      <c r="P232">
        <v>4</v>
      </c>
      <c r="Q232" t="b">
        <v>0</v>
      </c>
      <c r="R232" t="s">
        <v>18</v>
      </c>
      <c r="S232">
        <v>5</v>
      </c>
      <c r="T232" t="e">
        <f>IF(#REF!&lt;=25, "Young Age", IF(#REF!&lt;=40, "Mid Age", "Old Age"))</f>
        <v>#REF!</v>
      </c>
      <c r="U232" t="str">
        <f t="shared" si="3"/>
        <v>Delayed</v>
      </c>
    </row>
    <row r="233" spans="1:21" x14ac:dyDescent="0.35">
      <c r="A233" t="s">
        <v>617</v>
      </c>
      <c r="B233" s="13">
        <v>45406</v>
      </c>
      <c r="C233" t="s">
        <v>618</v>
      </c>
      <c r="D233" t="s">
        <v>3</v>
      </c>
      <c r="E233" t="s">
        <v>89</v>
      </c>
      <c r="F233" t="s">
        <v>299</v>
      </c>
      <c r="G233" t="s">
        <v>105</v>
      </c>
      <c r="H233" t="s">
        <v>282</v>
      </c>
      <c r="I233">
        <v>7</v>
      </c>
      <c r="J233" s="1">
        <v>45364.52</v>
      </c>
      <c r="K233">
        <v>0.08</v>
      </c>
      <c r="L233" s="1">
        <v>465179.21</v>
      </c>
      <c r="M233" s="1">
        <v>56612.46</v>
      </c>
      <c r="N233" s="1">
        <v>59.16</v>
      </c>
      <c r="O233" t="s">
        <v>30</v>
      </c>
      <c r="P233">
        <v>1</v>
      </c>
      <c r="Q233" t="b">
        <v>1</v>
      </c>
      <c r="R233" t="s">
        <v>9</v>
      </c>
      <c r="S233">
        <v>8</v>
      </c>
      <c r="T233" t="e">
        <f>IF(#REF!&lt;=25, "Young Age", IF(#REF!&lt;=40, "Mid Age", "Old Age"))</f>
        <v>#REF!</v>
      </c>
      <c r="U233" t="str">
        <f t="shared" si="3"/>
        <v>Over Delayed</v>
      </c>
    </row>
    <row r="234" spans="1:21" x14ac:dyDescent="0.35">
      <c r="A234" t="s">
        <v>619</v>
      </c>
      <c r="B234" s="13">
        <v>43920</v>
      </c>
      <c r="C234" t="s">
        <v>620</v>
      </c>
      <c r="D234" t="s">
        <v>47</v>
      </c>
      <c r="E234" t="s">
        <v>14</v>
      </c>
      <c r="F234" t="s">
        <v>15</v>
      </c>
      <c r="G234" t="s">
        <v>124</v>
      </c>
      <c r="H234" t="s">
        <v>254</v>
      </c>
      <c r="I234">
        <v>5</v>
      </c>
      <c r="J234" s="1">
        <v>9009.65</v>
      </c>
      <c r="K234">
        <v>0.08</v>
      </c>
      <c r="L234" s="1">
        <v>44971.39</v>
      </c>
      <c r="M234" s="1">
        <v>10004.34</v>
      </c>
      <c r="N234" s="1">
        <v>58.16</v>
      </c>
      <c r="O234" t="s">
        <v>30</v>
      </c>
      <c r="P234">
        <v>3</v>
      </c>
      <c r="Q234" t="b">
        <v>0</v>
      </c>
      <c r="R234" t="s">
        <v>18</v>
      </c>
      <c r="S234">
        <v>4</v>
      </c>
      <c r="T234" t="e">
        <f>IF(#REF!&lt;=25, "Young Age", IF(#REF!&lt;=40, "Mid Age", "Old Age"))</f>
        <v>#REF!</v>
      </c>
      <c r="U234" t="str">
        <f t="shared" si="3"/>
        <v>Okay</v>
      </c>
    </row>
    <row r="235" spans="1:21" x14ac:dyDescent="0.35">
      <c r="A235" t="s">
        <v>621</v>
      </c>
      <c r="B235" s="13">
        <v>45590</v>
      </c>
      <c r="C235" t="s">
        <v>622</v>
      </c>
      <c r="D235" t="s">
        <v>47</v>
      </c>
      <c r="E235" t="s">
        <v>4</v>
      </c>
      <c r="F235" t="s">
        <v>5</v>
      </c>
      <c r="G235" t="s">
        <v>105</v>
      </c>
      <c r="H235" t="s">
        <v>120</v>
      </c>
      <c r="I235">
        <v>3</v>
      </c>
      <c r="J235" s="1">
        <v>9261.39</v>
      </c>
      <c r="K235">
        <v>0.24</v>
      </c>
      <c r="L235" s="1">
        <v>25255.17</v>
      </c>
      <c r="M235" s="1">
        <v>3570.94</v>
      </c>
      <c r="N235" s="1">
        <v>42.63</v>
      </c>
      <c r="O235" t="s">
        <v>30</v>
      </c>
      <c r="P235">
        <v>3</v>
      </c>
      <c r="Q235" t="b">
        <v>0</v>
      </c>
      <c r="R235" t="s">
        <v>63</v>
      </c>
      <c r="S235">
        <v>4</v>
      </c>
      <c r="T235" t="e">
        <f>IF(#REF!&lt;=25, "Young Age", IF(#REF!&lt;=40, "Mid Age", "Old Age"))</f>
        <v>#REF!</v>
      </c>
      <c r="U235" t="str">
        <f t="shared" si="3"/>
        <v>Okay</v>
      </c>
    </row>
    <row r="236" spans="1:21" x14ac:dyDescent="0.35">
      <c r="A236" t="s">
        <v>623</v>
      </c>
      <c r="B236" s="13">
        <v>44967</v>
      </c>
      <c r="C236" t="s">
        <v>624</v>
      </c>
      <c r="D236" t="s">
        <v>47</v>
      </c>
      <c r="E236" t="s">
        <v>53</v>
      </c>
      <c r="F236" t="s">
        <v>114</v>
      </c>
      <c r="G236" t="s">
        <v>55</v>
      </c>
      <c r="H236" t="s">
        <v>56</v>
      </c>
      <c r="I236">
        <v>5</v>
      </c>
      <c r="J236" s="1">
        <v>2531.54</v>
      </c>
      <c r="K236">
        <v>0</v>
      </c>
      <c r="L236" s="1">
        <v>13540.41</v>
      </c>
      <c r="M236" s="1">
        <v>5111.1099999999997</v>
      </c>
      <c r="N236" s="1">
        <v>49.22</v>
      </c>
      <c r="O236" t="s">
        <v>36</v>
      </c>
      <c r="P236">
        <v>3</v>
      </c>
      <c r="Q236" t="b">
        <v>0</v>
      </c>
      <c r="R236" t="s">
        <v>115</v>
      </c>
      <c r="S236">
        <v>4</v>
      </c>
      <c r="T236" t="e">
        <f>IF(#REF!&lt;=25, "Young Age", IF(#REF!&lt;=40, "Mid Age", "Old Age"))</f>
        <v>#REF!</v>
      </c>
      <c r="U236" t="str">
        <f t="shared" si="3"/>
        <v>Okay</v>
      </c>
    </row>
    <row r="237" spans="1:21" x14ac:dyDescent="0.35">
      <c r="A237" t="s">
        <v>625</v>
      </c>
      <c r="B237" s="13">
        <v>45017</v>
      </c>
      <c r="C237" t="s">
        <v>626</v>
      </c>
      <c r="D237" t="s">
        <v>13</v>
      </c>
      <c r="E237" t="s">
        <v>14</v>
      </c>
      <c r="F237" t="s">
        <v>84</v>
      </c>
      <c r="G237" t="s">
        <v>23</v>
      </c>
      <c r="H237" t="s">
        <v>164</v>
      </c>
      <c r="I237">
        <v>7</v>
      </c>
      <c r="J237" s="1">
        <v>23696.15</v>
      </c>
      <c r="K237">
        <v>0.33</v>
      </c>
      <c r="L237" s="1">
        <v>157416.69</v>
      </c>
      <c r="M237" s="1">
        <v>50425.99</v>
      </c>
      <c r="N237" s="1">
        <v>51.3</v>
      </c>
      <c r="O237" t="s">
        <v>43</v>
      </c>
      <c r="P237" t="s">
        <v>2149</v>
      </c>
      <c r="Q237" t="b">
        <v>0</v>
      </c>
      <c r="R237" t="s">
        <v>37</v>
      </c>
      <c r="S237">
        <v>1</v>
      </c>
      <c r="T237" t="e">
        <f>IF(#REF!&lt;=25, "Young Age", IF(#REF!&lt;=40, "Mid Age", "Old Age"))</f>
        <v>#REF!</v>
      </c>
      <c r="U237" t="str">
        <f t="shared" si="3"/>
        <v>Okay</v>
      </c>
    </row>
    <row r="238" spans="1:21" x14ac:dyDescent="0.35">
      <c r="A238" t="s">
        <v>627</v>
      </c>
      <c r="B238" s="13">
        <v>44532</v>
      </c>
      <c r="C238" t="s">
        <v>628</v>
      </c>
      <c r="D238" t="s">
        <v>13</v>
      </c>
      <c r="E238" t="s">
        <v>89</v>
      </c>
      <c r="F238" t="s">
        <v>90</v>
      </c>
      <c r="G238" t="s">
        <v>6</v>
      </c>
      <c r="H238" t="s">
        <v>353</v>
      </c>
      <c r="I238">
        <v>1</v>
      </c>
      <c r="J238" s="1">
        <v>359.04</v>
      </c>
      <c r="K238">
        <v>0.01</v>
      </c>
      <c r="L238" s="1">
        <v>276.45999999999998</v>
      </c>
      <c r="M238" s="1">
        <v>18.11</v>
      </c>
      <c r="N238" s="1">
        <v>72.66</v>
      </c>
      <c r="O238" t="s">
        <v>43</v>
      </c>
      <c r="P238" t="s">
        <v>2149</v>
      </c>
      <c r="Q238" t="b">
        <v>0</v>
      </c>
      <c r="R238" t="s">
        <v>175</v>
      </c>
      <c r="S238">
        <v>10</v>
      </c>
      <c r="T238" t="e">
        <f>IF(#REF!&lt;=25, "Young Age", IF(#REF!&lt;=40, "Mid Age", "Old Age"))</f>
        <v>#REF!</v>
      </c>
      <c r="U238" t="str">
        <f t="shared" si="3"/>
        <v>Over Delayed</v>
      </c>
    </row>
    <row r="239" spans="1:21" x14ac:dyDescent="0.35">
      <c r="A239" t="s">
        <v>629</v>
      </c>
      <c r="B239" s="13">
        <v>45024</v>
      </c>
      <c r="C239" t="s">
        <v>630</v>
      </c>
      <c r="D239" t="s">
        <v>13</v>
      </c>
      <c r="E239" t="s">
        <v>14</v>
      </c>
      <c r="F239" t="s">
        <v>28</v>
      </c>
      <c r="G239" t="s">
        <v>124</v>
      </c>
      <c r="H239" t="s">
        <v>125</v>
      </c>
      <c r="I239">
        <v>4</v>
      </c>
      <c r="J239" s="1">
        <v>2360.4</v>
      </c>
      <c r="K239">
        <v>0.36</v>
      </c>
      <c r="L239" s="1">
        <v>9045.1299999999992</v>
      </c>
      <c r="M239" s="1">
        <v>1640.8</v>
      </c>
      <c r="N239" s="1">
        <v>46.73</v>
      </c>
      <c r="O239" t="s">
        <v>49</v>
      </c>
      <c r="P239">
        <v>2</v>
      </c>
      <c r="Q239" t="b">
        <v>0</v>
      </c>
      <c r="R239" t="s">
        <v>18</v>
      </c>
      <c r="S239">
        <v>2</v>
      </c>
      <c r="T239" t="e">
        <f>IF(#REF!&lt;=25, "Young Age", IF(#REF!&lt;=40, "Mid Age", "Old Age"))</f>
        <v>#REF!</v>
      </c>
      <c r="U239" t="str">
        <f t="shared" si="3"/>
        <v>Okay</v>
      </c>
    </row>
    <row r="240" spans="1:21" x14ac:dyDescent="0.35">
      <c r="A240" t="s">
        <v>631</v>
      </c>
      <c r="B240" s="13">
        <v>44229</v>
      </c>
      <c r="C240" t="s">
        <v>632</v>
      </c>
      <c r="D240" t="s">
        <v>13</v>
      </c>
      <c r="E240" t="s">
        <v>61</v>
      </c>
      <c r="F240" t="s">
        <v>222</v>
      </c>
      <c r="G240" t="s">
        <v>6</v>
      </c>
      <c r="H240" t="s">
        <v>387</v>
      </c>
      <c r="I240">
        <v>7</v>
      </c>
      <c r="J240" s="1">
        <v>474.48</v>
      </c>
      <c r="K240">
        <v>0.26</v>
      </c>
      <c r="L240" s="1">
        <v>2258.19</v>
      </c>
      <c r="M240" s="1">
        <v>189.8</v>
      </c>
      <c r="N240" s="1">
        <v>40.18</v>
      </c>
      <c r="O240" t="s">
        <v>8</v>
      </c>
      <c r="P240">
        <v>1</v>
      </c>
      <c r="Q240" t="b">
        <v>1</v>
      </c>
      <c r="R240" t="s">
        <v>9</v>
      </c>
      <c r="S240">
        <v>2</v>
      </c>
      <c r="T240" t="e">
        <f>IF(#REF!&lt;=25, "Young Age", IF(#REF!&lt;=40, "Mid Age", "Old Age"))</f>
        <v>#REF!</v>
      </c>
      <c r="U240" t="str">
        <f t="shared" si="3"/>
        <v>Okay</v>
      </c>
    </row>
    <row r="241" spans="1:21" x14ac:dyDescent="0.35">
      <c r="A241" t="s">
        <v>633</v>
      </c>
      <c r="B241" s="13">
        <v>44589</v>
      </c>
      <c r="C241" t="s">
        <v>634</v>
      </c>
      <c r="D241" t="s">
        <v>47</v>
      </c>
      <c r="E241" t="s">
        <v>89</v>
      </c>
      <c r="F241" t="s">
        <v>99</v>
      </c>
      <c r="G241" t="s">
        <v>124</v>
      </c>
      <c r="H241" t="s">
        <v>195</v>
      </c>
      <c r="I241">
        <v>3</v>
      </c>
      <c r="J241" s="1">
        <v>14928.96</v>
      </c>
      <c r="K241">
        <v>0.4</v>
      </c>
      <c r="L241" s="1">
        <v>21823.19</v>
      </c>
      <c r="M241" s="1">
        <v>4574.82</v>
      </c>
      <c r="N241" s="1">
        <v>60.83</v>
      </c>
      <c r="O241" t="s">
        <v>57</v>
      </c>
      <c r="P241">
        <v>1</v>
      </c>
      <c r="Q241" t="b">
        <v>0</v>
      </c>
      <c r="R241" t="s">
        <v>18</v>
      </c>
      <c r="S241">
        <v>8</v>
      </c>
      <c r="T241" t="e">
        <f>IF(#REF!&lt;=25, "Young Age", IF(#REF!&lt;=40, "Mid Age", "Old Age"))</f>
        <v>#REF!</v>
      </c>
      <c r="U241" t="str">
        <f t="shared" si="3"/>
        <v>Over Delayed</v>
      </c>
    </row>
    <row r="242" spans="1:21" x14ac:dyDescent="0.35">
      <c r="A242" t="s">
        <v>635</v>
      </c>
      <c r="B242" s="13">
        <v>44172</v>
      </c>
      <c r="C242" t="s">
        <v>636</v>
      </c>
      <c r="D242" t="s">
        <v>13</v>
      </c>
      <c r="E242" t="s">
        <v>53</v>
      </c>
      <c r="F242" t="s">
        <v>54</v>
      </c>
      <c r="G242" t="s">
        <v>41</v>
      </c>
      <c r="H242" t="s">
        <v>85</v>
      </c>
      <c r="I242">
        <v>999</v>
      </c>
      <c r="J242" s="1">
        <v>403.63</v>
      </c>
      <c r="K242">
        <v>0.15</v>
      </c>
      <c r="L242" s="1">
        <v>203951.5</v>
      </c>
      <c r="M242" s="1">
        <v>80603.27</v>
      </c>
      <c r="N242" s="1">
        <v>48.7</v>
      </c>
      <c r="O242" t="s">
        <v>30</v>
      </c>
      <c r="P242">
        <v>5</v>
      </c>
      <c r="Q242" t="b">
        <v>0</v>
      </c>
      <c r="R242" t="s">
        <v>18</v>
      </c>
      <c r="S242">
        <v>1</v>
      </c>
      <c r="T242" t="e">
        <f>IF(#REF!&lt;=25, "Young Age", IF(#REF!&lt;=40, "Mid Age", "Old Age"))</f>
        <v>#REF!</v>
      </c>
      <c r="U242" t="str">
        <f t="shared" si="3"/>
        <v>Okay</v>
      </c>
    </row>
    <row r="243" spans="1:21" x14ac:dyDescent="0.35">
      <c r="A243" t="s">
        <v>637</v>
      </c>
      <c r="B243" s="13">
        <v>44624</v>
      </c>
      <c r="C243" t="s">
        <v>638</v>
      </c>
      <c r="D243" t="s">
        <v>13</v>
      </c>
      <c r="E243" t="s">
        <v>4</v>
      </c>
      <c r="F243" t="s">
        <v>148</v>
      </c>
      <c r="G243" t="s">
        <v>16</v>
      </c>
      <c r="H243" t="s">
        <v>209</v>
      </c>
      <c r="I243">
        <v>6</v>
      </c>
      <c r="J243" s="1">
        <v>153.84</v>
      </c>
      <c r="K243">
        <v>0.09</v>
      </c>
      <c r="L243" s="1">
        <v>1006.96</v>
      </c>
      <c r="M243" s="1">
        <v>616.53</v>
      </c>
      <c r="N243" s="1">
        <v>54.61</v>
      </c>
      <c r="O243" t="s">
        <v>8</v>
      </c>
      <c r="P243">
        <v>3</v>
      </c>
      <c r="Q243" t="b">
        <v>0</v>
      </c>
      <c r="R243" t="s">
        <v>18</v>
      </c>
      <c r="S243">
        <v>9</v>
      </c>
      <c r="T243" t="e">
        <f>IF(#REF!&lt;=25, "Young Age", IF(#REF!&lt;=40, "Mid Age", "Old Age"))</f>
        <v>#REF!</v>
      </c>
      <c r="U243" t="str">
        <f t="shared" si="3"/>
        <v>Over Delayed</v>
      </c>
    </row>
    <row r="244" spans="1:21" x14ac:dyDescent="0.35">
      <c r="A244" t="s">
        <v>639</v>
      </c>
      <c r="B244" s="13">
        <v>43946</v>
      </c>
      <c r="C244" t="s">
        <v>640</v>
      </c>
      <c r="D244" t="s">
        <v>13</v>
      </c>
      <c r="E244" t="s">
        <v>14</v>
      </c>
      <c r="F244" t="s">
        <v>22</v>
      </c>
      <c r="G244" t="s">
        <v>23</v>
      </c>
      <c r="H244" t="s">
        <v>71</v>
      </c>
      <c r="I244">
        <v>2</v>
      </c>
      <c r="J244" s="1">
        <v>3582.55</v>
      </c>
      <c r="K244">
        <v>0.08</v>
      </c>
      <c r="L244" s="1">
        <v>8506.99</v>
      </c>
      <c r="M244" s="1">
        <v>2610.08</v>
      </c>
      <c r="N244" s="1">
        <v>54.88</v>
      </c>
      <c r="O244" t="s">
        <v>8</v>
      </c>
      <c r="P244">
        <v>3</v>
      </c>
      <c r="Q244" t="b">
        <v>0</v>
      </c>
      <c r="R244" t="s">
        <v>18</v>
      </c>
      <c r="S244">
        <v>7</v>
      </c>
      <c r="T244" t="e">
        <f>IF(#REF!&lt;=25, "Young Age", IF(#REF!&lt;=40, "Mid Age", "Old Age"))</f>
        <v>#REF!</v>
      </c>
      <c r="U244" t="str">
        <f t="shared" si="3"/>
        <v>Delayed</v>
      </c>
    </row>
    <row r="245" spans="1:21" x14ac:dyDescent="0.35">
      <c r="A245" t="s">
        <v>641</v>
      </c>
      <c r="B245" s="13">
        <v>45603</v>
      </c>
      <c r="C245" t="s">
        <v>642</v>
      </c>
      <c r="D245" t="s">
        <v>3</v>
      </c>
      <c r="E245" t="s">
        <v>14</v>
      </c>
      <c r="F245" t="s">
        <v>28</v>
      </c>
      <c r="G245" t="s">
        <v>105</v>
      </c>
      <c r="H245" t="s">
        <v>106</v>
      </c>
      <c r="I245">
        <v>9</v>
      </c>
      <c r="J245" s="1">
        <v>70570.87</v>
      </c>
      <c r="K245">
        <v>0.27</v>
      </c>
      <c r="L245" s="1">
        <v>436166.56</v>
      </c>
      <c r="M245" s="1">
        <v>54481.93</v>
      </c>
      <c r="N245" s="1">
        <v>66.680000000000007</v>
      </c>
      <c r="O245" t="s">
        <v>8</v>
      </c>
      <c r="P245">
        <v>2</v>
      </c>
      <c r="Q245" t="b">
        <v>0</v>
      </c>
      <c r="R245" t="s">
        <v>18</v>
      </c>
      <c r="S245">
        <v>3</v>
      </c>
      <c r="T245" t="e">
        <f>IF(#REF!&lt;=25, "Young Age", IF(#REF!&lt;=40, "Mid Age", "Old Age"))</f>
        <v>#REF!</v>
      </c>
      <c r="U245" t="str">
        <f t="shared" si="3"/>
        <v>Okay</v>
      </c>
    </row>
    <row r="246" spans="1:21" x14ac:dyDescent="0.35">
      <c r="A246" t="s">
        <v>643</v>
      </c>
      <c r="B246" s="13">
        <v>45310</v>
      </c>
      <c r="C246" t="s">
        <v>644</v>
      </c>
      <c r="D246" t="s">
        <v>13</v>
      </c>
      <c r="E246" t="s">
        <v>14</v>
      </c>
      <c r="F246" t="s">
        <v>22</v>
      </c>
      <c r="G246" t="s">
        <v>105</v>
      </c>
      <c r="H246" t="s">
        <v>149</v>
      </c>
      <c r="I246">
        <v>2</v>
      </c>
      <c r="J246" s="1">
        <v>46140.78</v>
      </c>
      <c r="K246">
        <v>0</v>
      </c>
      <c r="L246" s="1">
        <v>86042.12</v>
      </c>
      <c r="M246" s="1">
        <v>11876.13</v>
      </c>
      <c r="N246" s="1">
        <v>85.6</v>
      </c>
      <c r="O246" t="s">
        <v>8</v>
      </c>
      <c r="P246">
        <v>1</v>
      </c>
      <c r="Q246" t="b">
        <v>0</v>
      </c>
      <c r="R246" t="s">
        <v>18</v>
      </c>
      <c r="S246">
        <v>6</v>
      </c>
      <c r="T246" t="e">
        <f>IF(#REF!&lt;=25, "Young Age", IF(#REF!&lt;=40, "Mid Age", "Old Age"))</f>
        <v>#REF!</v>
      </c>
      <c r="U246" t="str">
        <f t="shared" si="3"/>
        <v>Delayed</v>
      </c>
    </row>
    <row r="247" spans="1:21" x14ac:dyDescent="0.35">
      <c r="A247" t="s">
        <v>645</v>
      </c>
      <c r="B247" s="13">
        <v>44585</v>
      </c>
      <c r="C247" t="s">
        <v>646</v>
      </c>
      <c r="D247" t="s">
        <v>3</v>
      </c>
      <c r="E247" t="s">
        <v>53</v>
      </c>
      <c r="F247" t="s">
        <v>114</v>
      </c>
      <c r="G247" t="s">
        <v>16</v>
      </c>
      <c r="H247" t="s">
        <v>80</v>
      </c>
      <c r="I247">
        <v>9</v>
      </c>
      <c r="J247" s="1">
        <v>265.25</v>
      </c>
      <c r="K247">
        <v>0.18</v>
      </c>
      <c r="L247" s="1">
        <v>1737.45</v>
      </c>
      <c r="M247" s="1">
        <v>685.06</v>
      </c>
      <c r="N247" s="1">
        <v>28.69</v>
      </c>
      <c r="O247" t="s">
        <v>49</v>
      </c>
      <c r="P247">
        <v>2</v>
      </c>
      <c r="Q247" t="b">
        <v>0</v>
      </c>
      <c r="R247" t="s">
        <v>18</v>
      </c>
      <c r="S247">
        <v>5</v>
      </c>
      <c r="T247" t="e">
        <f>IF(#REF!&lt;=25, "Young Age", IF(#REF!&lt;=40, "Mid Age", "Old Age"))</f>
        <v>#REF!</v>
      </c>
      <c r="U247" t="str">
        <f t="shared" si="3"/>
        <v>Delayed</v>
      </c>
    </row>
    <row r="248" spans="1:21" x14ac:dyDescent="0.35">
      <c r="A248" t="s">
        <v>647</v>
      </c>
      <c r="B248" s="13">
        <v>44913</v>
      </c>
      <c r="C248" t="s">
        <v>648</v>
      </c>
      <c r="D248" t="s">
        <v>47</v>
      </c>
      <c r="E248" t="s">
        <v>89</v>
      </c>
      <c r="F248" t="s">
        <v>99</v>
      </c>
      <c r="G248" t="s">
        <v>6</v>
      </c>
      <c r="H248" t="s">
        <v>7</v>
      </c>
      <c r="I248">
        <v>7</v>
      </c>
      <c r="J248" s="1">
        <v>56.3</v>
      </c>
      <c r="K248">
        <v>0.16</v>
      </c>
      <c r="L248" s="1">
        <v>219.23</v>
      </c>
      <c r="M248" s="1">
        <v>17.73</v>
      </c>
      <c r="N248" s="1">
        <v>83.47</v>
      </c>
      <c r="O248" t="s">
        <v>36</v>
      </c>
      <c r="P248">
        <v>4</v>
      </c>
      <c r="Q248" t="b">
        <v>1</v>
      </c>
      <c r="R248" t="s">
        <v>9</v>
      </c>
      <c r="S248">
        <v>6</v>
      </c>
      <c r="T248" t="e">
        <f>IF(#REF!&lt;=25, "Young Age", IF(#REF!&lt;=40, "Mid Age", "Old Age"))</f>
        <v>#REF!</v>
      </c>
      <c r="U248" t="str">
        <f t="shared" si="3"/>
        <v>Delayed</v>
      </c>
    </row>
    <row r="249" spans="1:21" x14ac:dyDescent="0.35">
      <c r="A249" t="s">
        <v>649</v>
      </c>
      <c r="B249" s="13">
        <v>44919</v>
      </c>
      <c r="C249" t="s">
        <v>650</v>
      </c>
      <c r="D249" t="s">
        <v>13</v>
      </c>
      <c r="E249" t="s">
        <v>61</v>
      </c>
      <c r="F249" t="s">
        <v>271</v>
      </c>
      <c r="G249" t="s">
        <v>23</v>
      </c>
      <c r="H249" t="s">
        <v>71</v>
      </c>
      <c r="I249">
        <v>1</v>
      </c>
      <c r="J249" s="1">
        <v>21949.11</v>
      </c>
      <c r="K249">
        <v>0.11</v>
      </c>
      <c r="L249" s="1">
        <v>16420.47</v>
      </c>
      <c r="M249" s="1">
        <v>5291.08</v>
      </c>
      <c r="N249" s="1">
        <v>87.46</v>
      </c>
      <c r="O249" t="s">
        <v>30</v>
      </c>
      <c r="P249">
        <v>1</v>
      </c>
      <c r="Q249" t="b">
        <v>0</v>
      </c>
      <c r="R249" t="s">
        <v>18</v>
      </c>
      <c r="S249">
        <v>2</v>
      </c>
      <c r="T249" t="e">
        <f>IF(#REF!&lt;=25, "Young Age", IF(#REF!&lt;=40, "Mid Age", "Old Age"))</f>
        <v>#REF!</v>
      </c>
      <c r="U249" t="str">
        <f t="shared" si="3"/>
        <v>Okay</v>
      </c>
    </row>
    <row r="250" spans="1:21" x14ac:dyDescent="0.35">
      <c r="A250" t="s">
        <v>651</v>
      </c>
      <c r="B250" s="13">
        <v>45015</v>
      </c>
      <c r="C250" t="s">
        <v>652</v>
      </c>
      <c r="D250" t="s">
        <v>13</v>
      </c>
      <c r="E250" t="s">
        <v>89</v>
      </c>
      <c r="F250" t="s">
        <v>119</v>
      </c>
      <c r="G250" t="s">
        <v>41</v>
      </c>
      <c r="H250" t="s">
        <v>244</v>
      </c>
      <c r="I250">
        <v>10</v>
      </c>
      <c r="J250" s="1">
        <v>432.2</v>
      </c>
      <c r="K250">
        <v>0.22</v>
      </c>
      <c r="L250" s="1">
        <v>4097.63</v>
      </c>
      <c r="M250" s="1">
        <v>1857.23</v>
      </c>
      <c r="N250" s="1">
        <v>69.099999999999994</v>
      </c>
      <c r="O250" t="s">
        <v>36</v>
      </c>
      <c r="P250" t="s">
        <v>2149</v>
      </c>
      <c r="Q250" t="b">
        <v>0</v>
      </c>
      <c r="R250" t="s">
        <v>18</v>
      </c>
      <c r="S250">
        <v>5</v>
      </c>
      <c r="T250" t="e">
        <f>IF(#REF!&lt;=25, "Young Age", IF(#REF!&lt;=40, "Mid Age", "Old Age"))</f>
        <v>#REF!</v>
      </c>
      <c r="U250" t="str">
        <f t="shared" si="3"/>
        <v>Delayed</v>
      </c>
    </row>
    <row r="251" spans="1:21" x14ac:dyDescent="0.35">
      <c r="A251" t="s">
        <v>653</v>
      </c>
      <c r="B251" s="13">
        <v>44657</v>
      </c>
      <c r="C251" t="s">
        <v>654</v>
      </c>
      <c r="D251" t="s">
        <v>13</v>
      </c>
      <c r="E251" t="s">
        <v>53</v>
      </c>
      <c r="F251" t="s">
        <v>54</v>
      </c>
      <c r="G251" t="s">
        <v>124</v>
      </c>
      <c r="H251" t="s">
        <v>156</v>
      </c>
      <c r="I251">
        <v>10</v>
      </c>
      <c r="J251" s="1">
        <v>8393.4</v>
      </c>
      <c r="K251">
        <v>0.27</v>
      </c>
      <c r="L251" s="1">
        <v>79799.460000000006</v>
      </c>
      <c r="M251" s="1">
        <v>13093.99</v>
      </c>
      <c r="N251" s="1">
        <v>54.18</v>
      </c>
      <c r="O251" t="s">
        <v>36</v>
      </c>
      <c r="P251">
        <v>2</v>
      </c>
      <c r="Q251" t="b">
        <v>0</v>
      </c>
      <c r="R251" t="s">
        <v>18</v>
      </c>
      <c r="S251">
        <v>8</v>
      </c>
      <c r="T251" t="e">
        <f>IF(#REF!&lt;=25, "Young Age", IF(#REF!&lt;=40, "Mid Age", "Old Age"))</f>
        <v>#REF!</v>
      </c>
      <c r="U251" t="str">
        <f t="shared" si="3"/>
        <v>Over Delayed</v>
      </c>
    </row>
    <row r="252" spans="1:21" x14ac:dyDescent="0.35">
      <c r="A252" t="s">
        <v>655</v>
      </c>
      <c r="B252" s="13">
        <v>44387</v>
      </c>
      <c r="C252" t="s">
        <v>656</v>
      </c>
      <c r="D252" t="s">
        <v>47</v>
      </c>
      <c r="E252" t="s">
        <v>89</v>
      </c>
      <c r="F252" t="s">
        <v>299</v>
      </c>
      <c r="G252" t="s">
        <v>55</v>
      </c>
      <c r="H252" t="s">
        <v>110</v>
      </c>
      <c r="I252">
        <v>6</v>
      </c>
      <c r="J252" s="1">
        <v>2619.38</v>
      </c>
      <c r="K252">
        <v>0.24</v>
      </c>
      <c r="L252" s="1">
        <v>15863.82</v>
      </c>
      <c r="M252" s="1">
        <v>5048.54</v>
      </c>
      <c r="N252" s="1">
        <v>23.2</v>
      </c>
      <c r="O252" t="s">
        <v>30</v>
      </c>
      <c r="P252">
        <v>2</v>
      </c>
      <c r="Q252" t="b">
        <v>0</v>
      </c>
      <c r="R252" t="s">
        <v>18</v>
      </c>
      <c r="S252">
        <v>4</v>
      </c>
      <c r="T252" t="e">
        <f>IF(#REF!&lt;=25, "Young Age", IF(#REF!&lt;=40, "Mid Age", "Old Age"))</f>
        <v>#REF!</v>
      </c>
      <c r="U252" t="str">
        <f t="shared" si="3"/>
        <v>Okay</v>
      </c>
    </row>
    <row r="253" spans="1:21" x14ac:dyDescent="0.35">
      <c r="A253" t="s">
        <v>657</v>
      </c>
      <c r="B253" s="13">
        <v>44172</v>
      </c>
      <c r="C253" t="s">
        <v>658</v>
      </c>
      <c r="D253" t="s">
        <v>13</v>
      </c>
      <c r="E253" t="s">
        <v>14</v>
      </c>
      <c r="F253" t="s">
        <v>22</v>
      </c>
      <c r="G253" t="s">
        <v>124</v>
      </c>
      <c r="H253" t="s">
        <v>195</v>
      </c>
      <c r="I253">
        <v>8</v>
      </c>
      <c r="J253" s="1">
        <v>4670.6000000000004</v>
      </c>
      <c r="K253">
        <v>0.27</v>
      </c>
      <c r="L253" s="1">
        <v>19375.099999999999</v>
      </c>
      <c r="M253" s="1">
        <v>2879.15</v>
      </c>
      <c r="N253" s="1">
        <v>51.67</v>
      </c>
      <c r="O253" t="s">
        <v>49</v>
      </c>
      <c r="P253">
        <v>4</v>
      </c>
      <c r="Q253" t="b">
        <v>0</v>
      </c>
      <c r="R253" t="s">
        <v>18</v>
      </c>
      <c r="S253">
        <v>4</v>
      </c>
      <c r="T253" t="e">
        <f>IF(#REF!&lt;=25, "Young Age", IF(#REF!&lt;=40, "Mid Age", "Old Age"))</f>
        <v>#REF!</v>
      </c>
      <c r="U253" t="str">
        <f t="shared" si="3"/>
        <v>Okay</v>
      </c>
    </row>
    <row r="254" spans="1:21" x14ac:dyDescent="0.35">
      <c r="A254" t="s">
        <v>659</v>
      </c>
      <c r="B254" s="13">
        <v>43844</v>
      </c>
      <c r="C254" t="s">
        <v>660</v>
      </c>
      <c r="D254" t="s">
        <v>13</v>
      </c>
      <c r="E254" t="s">
        <v>61</v>
      </c>
      <c r="F254" t="s">
        <v>271</v>
      </c>
      <c r="G254" t="s">
        <v>41</v>
      </c>
      <c r="H254" t="s">
        <v>244</v>
      </c>
      <c r="I254">
        <v>1</v>
      </c>
      <c r="J254" s="1">
        <v>1172.06</v>
      </c>
      <c r="K254">
        <v>0.18</v>
      </c>
      <c r="L254" s="1">
        <v>613.66</v>
      </c>
      <c r="M254" s="1">
        <v>243.99</v>
      </c>
      <c r="N254" s="1">
        <v>62.05</v>
      </c>
      <c r="O254" t="s">
        <v>43</v>
      </c>
      <c r="P254">
        <v>4</v>
      </c>
      <c r="Q254" t="b">
        <v>0</v>
      </c>
      <c r="R254" t="s">
        <v>18</v>
      </c>
      <c r="S254">
        <v>1</v>
      </c>
      <c r="T254" t="e">
        <f>IF(#REF!&lt;=25, "Young Age", IF(#REF!&lt;=40, "Mid Age", "Old Age"))</f>
        <v>#REF!</v>
      </c>
      <c r="U254" t="str">
        <f t="shared" si="3"/>
        <v>Okay</v>
      </c>
    </row>
    <row r="255" spans="1:21" x14ac:dyDescent="0.35">
      <c r="A255" t="s">
        <v>661</v>
      </c>
      <c r="B255" s="13">
        <v>44284</v>
      </c>
      <c r="C255" t="s">
        <v>662</v>
      </c>
      <c r="D255" t="s">
        <v>13</v>
      </c>
      <c r="E255" t="s">
        <v>89</v>
      </c>
      <c r="F255" t="s">
        <v>119</v>
      </c>
      <c r="G255" t="s">
        <v>105</v>
      </c>
      <c r="H255" t="s">
        <v>282</v>
      </c>
      <c r="I255">
        <v>4</v>
      </c>
      <c r="J255" s="1">
        <v>70635.62</v>
      </c>
      <c r="K255">
        <v>0.32</v>
      </c>
      <c r="L255" s="1">
        <v>207766.8</v>
      </c>
      <c r="M255" s="1">
        <v>19874.73</v>
      </c>
      <c r="N255" s="1">
        <v>73.83</v>
      </c>
      <c r="O255" t="s">
        <v>57</v>
      </c>
      <c r="P255">
        <v>2</v>
      </c>
      <c r="Q255" t="b">
        <v>0</v>
      </c>
      <c r="R255" t="s">
        <v>37</v>
      </c>
      <c r="S255">
        <v>1</v>
      </c>
      <c r="T255" t="e">
        <f>IF(#REF!&lt;=25, "Young Age", IF(#REF!&lt;=40, "Mid Age", "Old Age"))</f>
        <v>#REF!</v>
      </c>
      <c r="U255" t="str">
        <f t="shared" si="3"/>
        <v>Okay</v>
      </c>
    </row>
    <row r="256" spans="1:21" x14ac:dyDescent="0.35">
      <c r="A256" t="s">
        <v>663</v>
      </c>
      <c r="B256" s="13">
        <v>44022</v>
      </c>
      <c r="C256" t="s">
        <v>664</v>
      </c>
      <c r="D256" t="s">
        <v>47</v>
      </c>
      <c r="E256" t="s">
        <v>14</v>
      </c>
      <c r="F256" t="s">
        <v>84</v>
      </c>
      <c r="G256" t="s">
        <v>41</v>
      </c>
      <c r="H256" t="s">
        <v>477</v>
      </c>
      <c r="I256">
        <v>2</v>
      </c>
      <c r="J256" s="1">
        <v>449.62</v>
      </c>
      <c r="K256">
        <v>0.4</v>
      </c>
      <c r="L256" s="1">
        <v>661.09</v>
      </c>
      <c r="M256" s="1">
        <v>247.72</v>
      </c>
      <c r="N256" s="1">
        <v>68.849999999999994</v>
      </c>
      <c r="O256" t="s">
        <v>8</v>
      </c>
      <c r="P256">
        <v>1</v>
      </c>
      <c r="Q256" t="b">
        <v>0</v>
      </c>
      <c r="R256" t="s">
        <v>18</v>
      </c>
      <c r="S256">
        <v>6</v>
      </c>
      <c r="T256" t="e">
        <f>IF(#REF!&lt;=25, "Young Age", IF(#REF!&lt;=40, "Mid Age", "Old Age"))</f>
        <v>#REF!</v>
      </c>
      <c r="U256" t="str">
        <f t="shared" si="3"/>
        <v>Delayed</v>
      </c>
    </row>
    <row r="257" spans="1:21" x14ac:dyDescent="0.35">
      <c r="A257" t="s">
        <v>665</v>
      </c>
      <c r="B257" s="13">
        <v>44249</v>
      </c>
      <c r="C257" t="s">
        <v>666</v>
      </c>
      <c r="D257" t="s">
        <v>3</v>
      </c>
      <c r="E257" t="s">
        <v>4</v>
      </c>
      <c r="F257" t="s">
        <v>34</v>
      </c>
      <c r="G257" t="s">
        <v>16</v>
      </c>
      <c r="H257" t="s">
        <v>557</v>
      </c>
      <c r="I257">
        <v>7</v>
      </c>
      <c r="J257" s="1">
        <v>322.75</v>
      </c>
      <c r="K257">
        <v>0.15</v>
      </c>
      <c r="L257" s="1">
        <v>1684.8</v>
      </c>
      <c r="M257" s="1">
        <v>760.63</v>
      </c>
      <c r="N257" s="1">
        <v>28.86</v>
      </c>
      <c r="O257" t="s">
        <v>43</v>
      </c>
      <c r="P257">
        <v>1</v>
      </c>
      <c r="Q257" t="b">
        <v>1</v>
      </c>
      <c r="R257" t="s">
        <v>9</v>
      </c>
      <c r="S257">
        <v>5</v>
      </c>
      <c r="T257" t="e">
        <f>IF(#REF!&lt;=25, "Young Age", IF(#REF!&lt;=40, "Mid Age", "Old Age"))</f>
        <v>#REF!</v>
      </c>
      <c r="U257" t="str">
        <f t="shared" si="3"/>
        <v>Delayed</v>
      </c>
    </row>
    <row r="258" spans="1:21" x14ac:dyDescent="0.35">
      <c r="A258" t="s">
        <v>667</v>
      </c>
      <c r="B258" s="13">
        <v>45499</v>
      </c>
      <c r="C258" t="s">
        <v>668</v>
      </c>
      <c r="D258" t="s">
        <v>13</v>
      </c>
      <c r="E258" t="s">
        <v>53</v>
      </c>
      <c r="F258" t="s">
        <v>54</v>
      </c>
      <c r="G258" t="s">
        <v>6</v>
      </c>
      <c r="H258" t="s">
        <v>35</v>
      </c>
      <c r="I258">
        <v>2</v>
      </c>
      <c r="J258" s="1">
        <v>92.87</v>
      </c>
      <c r="K258">
        <v>0.33</v>
      </c>
      <c r="L258" s="1">
        <v>179.13</v>
      </c>
      <c r="M258" s="1">
        <v>19.37</v>
      </c>
      <c r="N258" s="1">
        <v>36.78</v>
      </c>
      <c r="O258" t="s">
        <v>30</v>
      </c>
      <c r="P258">
        <v>3</v>
      </c>
      <c r="Q258" t="b">
        <v>0</v>
      </c>
      <c r="R258" t="s">
        <v>63</v>
      </c>
      <c r="S258" t="s">
        <v>2149</v>
      </c>
      <c r="T258" t="e">
        <f>IF(#REF!&lt;=25, "Young Age", IF(#REF!&lt;=40, "Mid Age", "Old Age"))</f>
        <v>#REF!</v>
      </c>
      <c r="U258" t="str">
        <f t="shared" ref="U258:U321" si="4">IF(S258 &lt;=4, "Okay", IF(S258 &lt;=7, "Delayed", "Over Delayed"))</f>
        <v>Over Delayed</v>
      </c>
    </row>
    <row r="259" spans="1:21" x14ac:dyDescent="0.35">
      <c r="A259" t="s">
        <v>669</v>
      </c>
      <c r="B259" s="13">
        <v>45581</v>
      </c>
      <c r="C259" t="s">
        <v>670</v>
      </c>
      <c r="D259" t="s">
        <v>13</v>
      </c>
      <c r="E259" t="s">
        <v>89</v>
      </c>
      <c r="F259" t="s">
        <v>90</v>
      </c>
      <c r="G259" t="s">
        <v>105</v>
      </c>
      <c r="H259" t="s">
        <v>282</v>
      </c>
      <c r="I259">
        <v>1</v>
      </c>
      <c r="J259" s="1">
        <v>78299.490000000005</v>
      </c>
      <c r="K259">
        <v>0.18</v>
      </c>
      <c r="L259" s="1">
        <v>76494.58</v>
      </c>
      <c r="M259" s="1">
        <v>10883.34</v>
      </c>
      <c r="N259" s="1">
        <v>80.12</v>
      </c>
      <c r="O259" t="s">
        <v>49</v>
      </c>
      <c r="P259">
        <v>3</v>
      </c>
      <c r="Q259" t="b">
        <v>0</v>
      </c>
      <c r="R259" t="s">
        <v>18</v>
      </c>
      <c r="S259">
        <v>9</v>
      </c>
      <c r="T259" t="e">
        <f>IF(#REF!&lt;=25, "Young Age", IF(#REF!&lt;=40, "Mid Age", "Old Age"))</f>
        <v>#REF!</v>
      </c>
      <c r="U259" t="str">
        <f t="shared" si="4"/>
        <v>Over Delayed</v>
      </c>
    </row>
    <row r="260" spans="1:21" x14ac:dyDescent="0.35">
      <c r="A260" t="s">
        <v>671</v>
      </c>
      <c r="B260" s="13">
        <v>45605</v>
      </c>
      <c r="C260" t="s">
        <v>672</v>
      </c>
      <c r="D260" t="s">
        <v>13</v>
      </c>
      <c r="E260" t="s">
        <v>61</v>
      </c>
      <c r="F260" t="s">
        <v>62</v>
      </c>
      <c r="G260" t="s">
        <v>55</v>
      </c>
      <c r="H260" t="s">
        <v>185</v>
      </c>
      <c r="I260">
        <v>4</v>
      </c>
      <c r="J260" s="1">
        <v>1153.04</v>
      </c>
      <c r="K260">
        <v>0.23</v>
      </c>
      <c r="L260" s="1">
        <v>3508.11</v>
      </c>
      <c r="M260" s="1">
        <v>1237.0899999999999</v>
      </c>
      <c r="N260" s="1">
        <v>67.930000000000007</v>
      </c>
      <c r="O260" t="s">
        <v>49</v>
      </c>
      <c r="P260">
        <v>2</v>
      </c>
      <c r="Q260" t="b">
        <v>0</v>
      </c>
      <c r="R260" t="s">
        <v>18</v>
      </c>
      <c r="S260">
        <v>1</v>
      </c>
      <c r="T260" t="e">
        <f>IF(#REF!&lt;=25, "Young Age", IF(#REF!&lt;=40, "Mid Age", "Old Age"))</f>
        <v>#REF!</v>
      </c>
      <c r="U260" t="str">
        <f t="shared" si="4"/>
        <v>Okay</v>
      </c>
    </row>
    <row r="261" spans="1:21" x14ac:dyDescent="0.35">
      <c r="A261" t="s">
        <v>673</v>
      </c>
      <c r="B261" s="13">
        <v>44788</v>
      </c>
      <c r="C261" t="s">
        <v>674</v>
      </c>
      <c r="D261" t="s">
        <v>3</v>
      </c>
      <c r="E261" t="s">
        <v>61</v>
      </c>
      <c r="F261" t="s">
        <v>271</v>
      </c>
      <c r="G261" t="s">
        <v>41</v>
      </c>
      <c r="H261" t="s">
        <v>244</v>
      </c>
      <c r="I261">
        <v>6</v>
      </c>
      <c r="J261" s="1">
        <v>966.11</v>
      </c>
      <c r="K261">
        <v>0.28999999999999998</v>
      </c>
      <c r="L261" s="1">
        <v>5647.04</v>
      </c>
      <c r="M261" s="1">
        <v>1896.58</v>
      </c>
      <c r="N261" s="1">
        <v>107.74</v>
      </c>
      <c r="O261" t="s">
        <v>36</v>
      </c>
      <c r="P261">
        <v>1</v>
      </c>
      <c r="Q261" t="b">
        <v>0</v>
      </c>
      <c r="R261" t="s">
        <v>63</v>
      </c>
      <c r="S261" t="s">
        <v>2149</v>
      </c>
      <c r="T261" t="e">
        <f>IF(#REF!&lt;=25, "Young Age", IF(#REF!&lt;=40, "Mid Age", "Old Age"))</f>
        <v>#REF!</v>
      </c>
      <c r="U261" t="str">
        <f t="shared" si="4"/>
        <v>Over Delayed</v>
      </c>
    </row>
    <row r="262" spans="1:21" x14ac:dyDescent="0.35">
      <c r="A262" t="s">
        <v>675</v>
      </c>
      <c r="B262" s="13">
        <v>45246</v>
      </c>
      <c r="C262" t="s">
        <v>676</v>
      </c>
      <c r="D262" t="s">
        <v>3</v>
      </c>
      <c r="E262" t="s">
        <v>14</v>
      </c>
      <c r="F262" t="s">
        <v>28</v>
      </c>
      <c r="G262" t="s">
        <v>55</v>
      </c>
      <c r="H262" t="s">
        <v>56</v>
      </c>
      <c r="I262">
        <v>8</v>
      </c>
      <c r="J262" s="1">
        <v>1471.86</v>
      </c>
      <c r="K262">
        <v>0.27</v>
      </c>
      <c r="L262" s="1">
        <v>8376.83</v>
      </c>
      <c r="M262" s="1">
        <v>3013.79</v>
      </c>
      <c r="N262" s="1">
        <v>87.43</v>
      </c>
      <c r="O262" t="s">
        <v>49</v>
      </c>
      <c r="P262" t="s">
        <v>2149</v>
      </c>
      <c r="Q262" t="b">
        <v>0</v>
      </c>
      <c r="R262" t="s">
        <v>18</v>
      </c>
      <c r="S262">
        <v>7</v>
      </c>
      <c r="T262" t="e">
        <f>IF(#REF!&lt;=25, "Young Age", IF(#REF!&lt;=40, "Mid Age", "Old Age"))</f>
        <v>#REF!</v>
      </c>
      <c r="U262" t="str">
        <f t="shared" si="4"/>
        <v>Delayed</v>
      </c>
    </row>
    <row r="263" spans="1:21" x14ac:dyDescent="0.35">
      <c r="A263" t="s">
        <v>677</v>
      </c>
      <c r="B263" s="13">
        <v>44389</v>
      </c>
      <c r="C263" t="s">
        <v>678</v>
      </c>
      <c r="D263" t="s">
        <v>47</v>
      </c>
      <c r="E263" t="s">
        <v>53</v>
      </c>
      <c r="F263" t="s">
        <v>54</v>
      </c>
      <c r="G263" t="s">
        <v>105</v>
      </c>
      <c r="H263" t="s">
        <v>438</v>
      </c>
      <c r="I263">
        <v>3</v>
      </c>
      <c r="J263" s="1">
        <v>33090.17</v>
      </c>
      <c r="K263">
        <v>0.22</v>
      </c>
      <c r="L263" s="1">
        <v>110240.96000000001</v>
      </c>
      <c r="M263" s="1">
        <v>11080.86</v>
      </c>
      <c r="N263" s="1">
        <v>57.35</v>
      </c>
      <c r="O263" t="s">
        <v>30</v>
      </c>
      <c r="P263">
        <v>5</v>
      </c>
      <c r="Q263" t="b">
        <v>1</v>
      </c>
      <c r="R263" t="s">
        <v>9</v>
      </c>
      <c r="S263" t="s">
        <v>2149</v>
      </c>
      <c r="T263" t="e">
        <f>IF(#REF!&lt;=25, "Young Age", IF(#REF!&lt;=40, "Mid Age", "Old Age"))</f>
        <v>#REF!</v>
      </c>
      <c r="U263" t="str">
        <f t="shared" si="4"/>
        <v>Over Delayed</v>
      </c>
    </row>
    <row r="264" spans="1:21" x14ac:dyDescent="0.35">
      <c r="A264" t="s">
        <v>679</v>
      </c>
      <c r="B264" s="13">
        <v>45304</v>
      </c>
      <c r="C264" t="s">
        <v>680</v>
      </c>
      <c r="D264" t="s">
        <v>3</v>
      </c>
      <c r="E264" t="s">
        <v>4</v>
      </c>
      <c r="F264" t="s">
        <v>5</v>
      </c>
      <c r="G264" t="s">
        <v>41</v>
      </c>
      <c r="H264" t="s">
        <v>85</v>
      </c>
      <c r="I264">
        <v>2</v>
      </c>
      <c r="J264" s="1">
        <v>365.34</v>
      </c>
      <c r="K264">
        <v>0.09</v>
      </c>
      <c r="L264" s="1">
        <v>599.16</v>
      </c>
      <c r="M264" s="1">
        <v>276.45999999999998</v>
      </c>
      <c r="N264" s="1">
        <v>52.27</v>
      </c>
      <c r="O264" t="s">
        <v>57</v>
      </c>
      <c r="P264">
        <v>2</v>
      </c>
      <c r="Q264" t="b">
        <v>0</v>
      </c>
      <c r="R264" t="s">
        <v>18</v>
      </c>
      <c r="S264">
        <v>4</v>
      </c>
      <c r="T264" t="e">
        <f>IF(#REF!&lt;=25, "Young Age", IF(#REF!&lt;=40, "Mid Age", "Old Age"))</f>
        <v>#REF!</v>
      </c>
      <c r="U264" t="str">
        <f t="shared" si="4"/>
        <v>Okay</v>
      </c>
    </row>
    <row r="265" spans="1:21" x14ac:dyDescent="0.35">
      <c r="A265" t="s">
        <v>681</v>
      </c>
      <c r="B265" s="13">
        <v>45637</v>
      </c>
      <c r="C265" t="s">
        <v>682</v>
      </c>
      <c r="D265" t="s">
        <v>13</v>
      </c>
      <c r="E265" t="s">
        <v>89</v>
      </c>
      <c r="F265" t="s">
        <v>299</v>
      </c>
      <c r="G265" t="s">
        <v>41</v>
      </c>
      <c r="H265" t="s">
        <v>477</v>
      </c>
      <c r="I265">
        <v>7</v>
      </c>
      <c r="J265" s="1">
        <v>609.79</v>
      </c>
      <c r="K265">
        <v>0.25</v>
      </c>
      <c r="L265" s="1">
        <v>2905.61</v>
      </c>
      <c r="M265" s="1">
        <v>1079.08</v>
      </c>
      <c r="N265" s="1">
        <v>68.86</v>
      </c>
      <c r="O265" t="s">
        <v>57</v>
      </c>
      <c r="P265">
        <v>3</v>
      </c>
      <c r="Q265" t="b">
        <v>0</v>
      </c>
      <c r="R265" t="s">
        <v>18</v>
      </c>
      <c r="S265">
        <v>7</v>
      </c>
      <c r="T265" t="e">
        <f>IF(#REF!&lt;=25, "Young Age", IF(#REF!&lt;=40, "Mid Age", "Old Age"))</f>
        <v>#REF!</v>
      </c>
      <c r="U265" t="str">
        <f t="shared" si="4"/>
        <v>Delayed</v>
      </c>
    </row>
    <row r="266" spans="1:21" x14ac:dyDescent="0.35">
      <c r="A266" t="s">
        <v>683</v>
      </c>
      <c r="B266" s="13">
        <v>44367</v>
      </c>
      <c r="C266" t="s">
        <v>684</v>
      </c>
      <c r="D266" t="s">
        <v>3</v>
      </c>
      <c r="E266" t="s">
        <v>89</v>
      </c>
      <c r="F266" t="s">
        <v>90</v>
      </c>
      <c r="G266" t="s">
        <v>6</v>
      </c>
      <c r="H266" t="s">
        <v>35</v>
      </c>
      <c r="I266">
        <v>7</v>
      </c>
      <c r="J266" s="1">
        <v>363.21</v>
      </c>
      <c r="K266">
        <v>0.38</v>
      </c>
      <c r="L266" s="1">
        <v>2475.37</v>
      </c>
      <c r="M266" s="1">
        <v>175.94</v>
      </c>
      <c r="N266" s="1">
        <v>73.22</v>
      </c>
      <c r="O266" t="s">
        <v>57</v>
      </c>
      <c r="P266">
        <v>4</v>
      </c>
      <c r="Q266" t="b">
        <v>0</v>
      </c>
      <c r="R266" t="s">
        <v>115</v>
      </c>
      <c r="S266">
        <v>1</v>
      </c>
      <c r="T266" t="e">
        <f>IF(#REF!&lt;=25, "Young Age", IF(#REF!&lt;=40, "Mid Age", "Old Age"))</f>
        <v>#REF!</v>
      </c>
      <c r="U266" t="str">
        <f t="shared" si="4"/>
        <v>Okay</v>
      </c>
    </row>
    <row r="267" spans="1:21" x14ac:dyDescent="0.35">
      <c r="A267" t="s">
        <v>685</v>
      </c>
      <c r="B267" s="13">
        <v>44370</v>
      </c>
      <c r="C267" t="s">
        <v>686</v>
      </c>
      <c r="D267" t="s">
        <v>3</v>
      </c>
      <c r="E267" t="s">
        <v>4</v>
      </c>
      <c r="F267" t="s">
        <v>34</v>
      </c>
      <c r="G267" t="s">
        <v>124</v>
      </c>
      <c r="H267" t="s">
        <v>195</v>
      </c>
      <c r="I267">
        <v>1</v>
      </c>
      <c r="J267" s="1">
        <v>8678.32</v>
      </c>
      <c r="K267">
        <v>0.17</v>
      </c>
      <c r="L267" s="1">
        <v>9630.16</v>
      </c>
      <c r="M267" s="1">
        <v>2953.14</v>
      </c>
      <c r="N267" s="1">
        <v>33.35</v>
      </c>
      <c r="O267" t="s">
        <v>57</v>
      </c>
      <c r="P267">
        <v>5</v>
      </c>
      <c r="Q267" t="b">
        <v>0</v>
      </c>
      <c r="R267" t="s">
        <v>18</v>
      </c>
      <c r="S267">
        <v>4</v>
      </c>
      <c r="T267" t="e">
        <f>IF(#REF!&lt;=25, "Young Age", IF(#REF!&lt;=40, "Mid Age", "Old Age"))</f>
        <v>#REF!</v>
      </c>
      <c r="U267" t="str">
        <f t="shared" si="4"/>
        <v>Okay</v>
      </c>
    </row>
    <row r="268" spans="1:21" x14ac:dyDescent="0.35">
      <c r="A268" t="s">
        <v>687</v>
      </c>
      <c r="B268" s="13">
        <v>44378</v>
      </c>
      <c r="C268" t="s">
        <v>688</v>
      </c>
      <c r="D268" t="s">
        <v>3</v>
      </c>
      <c r="E268" t="s">
        <v>89</v>
      </c>
      <c r="F268" t="s">
        <v>99</v>
      </c>
      <c r="G268" t="s">
        <v>55</v>
      </c>
      <c r="H268" t="s">
        <v>56</v>
      </c>
      <c r="I268">
        <v>2</v>
      </c>
      <c r="J268" s="1">
        <v>738.48</v>
      </c>
      <c r="K268">
        <v>0.09</v>
      </c>
      <c r="L268" s="1">
        <v>1795.94</v>
      </c>
      <c r="M268" s="1">
        <v>565.89</v>
      </c>
      <c r="N268" s="1">
        <v>67.67</v>
      </c>
      <c r="O268" t="s">
        <v>36</v>
      </c>
      <c r="P268" t="s">
        <v>2149</v>
      </c>
      <c r="Q268" t="b">
        <v>0</v>
      </c>
      <c r="R268" t="s">
        <v>18</v>
      </c>
      <c r="S268">
        <v>7</v>
      </c>
      <c r="T268" t="e">
        <f>IF(#REF!&lt;=25, "Young Age", IF(#REF!&lt;=40, "Mid Age", "Old Age"))</f>
        <v>#REF!</v>
      </c>
      <c r="U268" t="str">
        <f t="shared" si="4"/>
        <v>Delayed</v>
      </c>
    </row>
    <row r="269" spans="1:21" x14ac:dyDescent="0.35">
      <c r="A269" t="s">
        <v>689</v>
      </c>
      <c r="B269" s="13">
        <v>43905</v>
      </c>
      <c r="C269" t="s">
        <v>690</v>
      </c>
      <c r="D269" t="s">
        <v>13</v>
      </c>
      <c r="E269" t="s">
        <v>89</v>
      </c>
      <c r="F269" t="s">
        <v>99</v>
      </c>
      <c r="G269" t="s">
        <v>6</v>
      </c>
      <c r="H269" t="s">
        <v>7</v>
      </c>
      <c r="I269">
        <v>9</v>
      </c>
      <c r="J269" s="1">
        <v>236.54</v>
      </c>
      <c r="K269">
        <v>0.19</v>
      </c>
      <c r="L269" s="1">
        <v>1658.66</v>
      </c>
      <c r="M269" s="1">
        <v>140.16</v>
      </c>
      <c r="N269" s="1">
        <v>101.07</v>
      </c>
      <c r="O269" t="s">
        <v>49</v>
      </c>
      <c r="P269">
        <v>3</v>
      </c>
      <c r="Q269" t="b">
        <v>1</v>
      </c>
      <c r="R269" t="s">
        <v>9</v>
      </c>
      <c r="S269">
        <v>1</v>
      </c>
      <c r="T269" t="e">
        <f>IF(#REF!&lt;=25, "Young Age", IF(#REF!&lt;=40, "Mid Age", "Old Age"))</f>
        <v>#REF!</v>
      </c>
      <c r="U269" t="str">
        <f t="shared" si="4"/>
        <v>Okay</v>
      </c>
    </row>
    <row r="270" spans="1:21" x14ac:dyDescent="0.35">
      <c r="A270" t="s">
        <v>691</v>
      </c>
      <c r="B270" s="13">
        <v>44378</v>
      </c>
      <c r="C270" t="s">
        <v>692</v>
      </c>
      <c r="D270" t="s">
        <v>13</v>
      </c>
      <c r="E270" t="s">
        <v>61</v>
      </c>
      <c r="F270" t="s">
        <v>222</v>
      </c>
      <c r="G270" t="s">
        <v>16</v>
      </c>
      <c r="H270" t="s">
        <v>80</v>
      </c>
      <c r="I270">
        <v>5</v>
      </c>
      <c r="J270" s="1">
        <v>1998.43</v>
      </c>
      <c r="K270">
        <v>0.26</v>
      </c>
      <c r="L270" s="1">
        <v>9047.98</v>
      </c>
      <c r="M270" s="1">
        <v>4337.88</v>
      </c>
      <c r="N270" s="1">
        <v>79.62</v>
      </c>
      <c r="O270" t="s">
        <v>57</v>
      </c>
      <c r="P270">
        <v>4</v>
      </c>
      <c r="Q270" t="b">
        <v>0</v>
      </c>
      <c r="R270" t="s">
        <v>115</v>
      </c>
      <c r="S270">
        <v>3</v>
      </c>
      <c r="T270" t="e">
        <f>IF(#REF!&lt;=25, "Young Age", IF(#REF!&lt;=40, "Mid Age", "Old Age"))</f>
        <v>#REF!</v>
      </c>
      <c r="U270" t="str">
        <f t="shared" si="4"/>
        <v>Okay</v>
      </c>
    </row>
    <row r="271" spans="1:21" x14ac:dyDescent="0.35">
      <c r="A271" t="s">
        <v>693</v>
      </c>
      <c r="B271" s="13">
        <v>45621</v>
      </c>
      <c r="C271" t="s">
        <v>694</v>
      </c>
      <c r="D271" t="s">
        <v>3</v>
      </c>
      <c r="E271" t="s">
        <v>61</v>
      </c>
      <c r="F271" t="s">
        <v>62</v>
      </c>
      <c r="G271" t="s">
        <v>105</v>
      </c>
      <c r="H271" t="s">
        <v>282</v>
      </c>
      <c r="I271">
        <v>9</v>
      </c>
      <c r="J271" s="1">
        <v>76064.53</v>
      </c>
      <c r="K271">
        <v>0.25</v>
      </c>
      <c r="L271" s="1">
        <v>473255.79</v>
      </c>
      <c r="M271" s="1">
        <v>56343.87</v>
      </c>
      <c r="N271" s="1">
        <v>79.709999999999994</v>
      </c>
      <c r="O271" t="s">
        <v>43</v>
      </c>
      <c r="P271">
        <v>3</v>
      </c>
      <c r="Q271" t="b">
        <v>0</v>
      </c>
      <c r="R271" t="s">
        <v>18</v>
      </c>
      <c r="S271">
        <v>1</v>
      </c>
      <c r="T271" t="e">
        <f>IF(#REF!&lt;=25, "Young Age", IF(#REF!&lt;=40, "Mid Age", "Old Age"))</f>
        <v>#REF!</v>
      </c>
      <c r="U271" t="str">
        <f t="shared" si="4"/>
        <v>Okay</v>
      </c>
    </row>
    <row r="272" spans="1:21" x14ac:dyDescent="0.35">
      <c r="A272" t="s">
        <v>695</v>
      </c>
      <c r="B272" s="13">
        <v>45215</v>
      </c>
      <c r="C272" t="s">
        <v>696</v>
      </c>
      <c r="D272" t="s">
        <v>3</v>
      </c>
      <c r="E272" t="s">
        <v>53</v>
      </c>
      <c r="F272" t="s">
        <v>114</v>
      </c>
      <c r="G272" t="s">
        <v>6</v>
      </c>
      <c r="H272" t="s">
        <v>374</v>
      </c>
      <c r="I272">
        <v>1</v>
      </c>
      <c r="J272" s="1">
        <v>97.17</v>
      </c>
      <c r="K272">
        <v>0.14000000000000001</v>
      </c>
      <c r="L272" s="1">
        <v>86.02</v>
      </c>
      <c r="M272" s="1">
        <v>8.27</v>
      </c>
      <c r="N272" s="1">
        <v>46.49</v>
      </c>
      <c r="O272" t="s">
        <v>30</v>
      </c>
      <c r="P272">
        <v>1</v>
      </c>
      <c r="Q272" t="b">
        <v>0</v>
      </c>
      <c r="R272" t="s">
        <v>18</v>
      </c>
      <c r="S272">
        <v>5</v>
      </c>
      <c r="T272" t="e">
        <f>IF(#REF!&lt;=25, "Young Age", IF(#REF!&lt;=40, "Mid Age", "Old Age"))</f>
        <v>#REF!</v>
      </c>
      <c r="U272" t="str">
        <f t="shared" si="4"/>
        <v>Delayed</v>
      </c>
    </row>
    <row r="273" spans="1:21" x14ac:dyDescent="0.35">
      <c r="A273" t="s">
        <v>697</v>
      </c>
      <c r="B273" s="13">
        <v>44157</v>
      </c>
      <c r="C273" t="s">
        <v>698</v>
      </c>
      <c r="D273" t="s">
        <v>3</v>
      </c>
      <c r="E273" t="s">
        <v>4</v>
      </c>
      <c r="F273" t="s">
        <v>5</v>
      </c>
      <c r="G273" t="s">
        <v>6</v>
      </c>
      <c r="H273" t="s">
        <v>35</v>
      </c>
      <c r="I273">
        <v>9</v>
      </c>
      <c r="J273" s="1">
        <v>407.45</v>
      </c>
      <c r="K273">
        <v>0.36</v>
      </c>
      <c r="L273" s="1">
        <v>1769.53</v>
      </c>
      <c r="M273" s="1">
        <v>149.16</v>
      </c>
      <c r="N273" s="1">
        <v>50.13</v>
      </c>
      <c r="O273" t="s">
        <v>36</v>
      </c>
      <c r="P273">
        <v>1</v>
      </c>
      <c r="Q273" t="b">
        <v>1</v>
      </c>
      <c r="R273" t="s">
        <v>9</v>
      </c>
      <c r="S273">
        <v>8</v>
      </c>
      <c r="T273" t="e">
        <f>IF(#REF!&lt;=25, "Young Age", IF(#REF!&lt;=40, "Mid Age", "Old Age"))</f>
        <v>#REF!</v>
      </c>
      <c r="U273" t="str">
        <f t="shared" si="4"/>
        <v>Over Delayed</v>
      </c>
    </row>
    <row r="274" spans="1:21" x14ac:dyDescent="0.35">
      <c r="A274" t="s">
        <v>699</v>
      </c>
      <c r="B274" s="13">
        <v>44275</v>
      </c>
      <c r="C274" t="s">
        <v>700</v>
      </c>
      <c r="D274" t="s">
        <v>13</v>
      </c>
      <c r="E274" t="s">
        <v>14</v>
      </c>
      <c r="F274" t="s">
        <v>22</v>
      </c>
      <c r="G274" t="s">
        <v>23</v>
      </c>
      <c r="H274" t="s">
        <v>24</v>
      </c>
      <c r="I274">
        <v>6</v>
      </c>
      <c r="J274" s="1">
        <v>5299.05</v>
      </c>
      <c r="K274">
        <v>0.13</v>
      </c>
      <c r="L274" s="1">
        <v>28279.75</v>
      </c>
      <c r="M274" s="1">
        <v>5506.48</v>
      </c>
      <c r="N274" s="1">
        <v>36.549999999999997</v>
      </c>
      <c r="O274" t="s">
        <v>43</v>
      </c>
      <c r="P274">
        <v>4</v>
      </c>
      <c r="Q274" t="b">
        <v>0</v>
      </c>
      <c r="R274" t="s">
        <v>18</v>
      </c>
      <c r="S274">
        <v>7</v>
      </c>
      <c r="T274" t="e">
        <f>IF(#REF!&lt;=25, "Young Age", IF(#REF!&lt;=40, "Mid Age", "Old Age"))</f>
        <v>#REF!</v>
      </c>
      <c r="U274" t="str">
        <f t="shared" si="4"/>
        <v>Delayed</v>
      </c>
    </row>
    <row r="275" spans="1:21" x14ac:dyDescent="0.35">
      <c r="A275" t="s">
        <v>701</v>
      </c>
      <c r="B275" s="13">
        <v>44459</v>
      </c>
      <c r="C275" t="s">
        <v>702</v>
      </c>
      <c r="D275" t="s">
        <v>3</v>
      </c>
      <c r="E275" t="s">
        <v>61</v>
      </c>
      <c r="F275" t="s">
        <v>222</v>
      </c>
      <c r="G275" t="s">
        <v>6</v>
      </c>
      <c r="H275" t="s">
        <v>75</v>
      </c>
      <c r="I275">
        <v>8</v>
      </c>
      <c r="J275" s="1">
        <v>126.77</v>
      </c>
      <c r="K275">
        <v>0.15</v>
      </c>
      <c r="L275" s="1">
        <v>930.33</v>
      </c>
      <c r="M275" s="1">
        <v>66.45</v>
      </c>
      <c r="N275" s="1">
        <v>64.290000000000006</v>
      </c>
      <c r="O275" t="s">
        <v>36</v>
      </c>
      <c r="P275">
        <v>4</v>
      </c>
      <c r="Q275" t="b">
        <v>0</v>
      </c>
      <c r="R275" t="s">
        <v>115</v>
      </c>
      <c r="S275">
        <v>2</v>
      </c>
      <c r="T275" t="e">
        <f>IF(#REF!&lt;=25, "Young Age", IF(#REF!&lt;=40, "Mid Age", "Old Age"))</f>
        <v>#REF!</v>
      </c>
      <c r="U275" t="str">
        <f t="shared" si="4"/>
        <v>Okay</v>
      </c>
    </row>
    <row r="276" spans="1:21" x14ac:dyDescent="0.35">
      <c r="A276" t="s">
        <v>703</v>
      </c>
      <c r="B276" s="13">
        <v>44901</v>
      </c>
      <c r="C276" t="s">
        <v>704</v>
      </c>
      <c r="D276" t="s">
        <v>47</v>
      </c>
      <c r="E276" t="s">
        <v>61</v>
      </c>
      <c r="F276" t="s">
        <v>104</v>
      </c>
      <c r="G276" t="s">
        <v>105</v>
      </c>
      <c r="H276" t="s">
        <v>438</v>
      </c>
      <c r="I276">
        <v>1</v>
      </c>
      <c r="J276" s="1">
        <v>7708.68</v>
      </c>
      <c r="K276">
        <v>0.26</v>
      </c>
      <c r="L276" s="1">
        <v>4938.4799999999996</v>
      </c>
      <c r="M276" s="1">
        <v>534.97</v>
      </c>
      <c r="N276" s="1">
        <v>101.65</v>
      </c>
      <c r="O276" t="s">
        <v>30</v>
      </c>
      <c r="P276">
        <v>2</v>
      </c>
      <c r="Q276" t="b">
        <v>0</v>
      </c>
      <c r="R276" t="s">
        <v>115</v>
      </c>
      <c r="S276">
        <v>6</v>
      </c>
      <c r="T276" t="e">
        <f>IF(#REF!&lt;=25, "Young Age", IF(#REF!&lt;=40, "Mid Age", "Old Age"))</f>
        <v>#REF!</v>
      </c>
      <c r="U276" t="str">
        <f t="shared" si="4"/>
        <v>Delayed</v>
      </c>
    </row>
    <row r="277" spans="1:21" x14ac:dyDescent="0.35">
      <c r="A277" t="s">
        <v>705</v>
      </c>
      <c r="B277" s="13">
        <v>44866</v>
      </c>
      <c r="C277" t="s">
        <v>706</v>
      </c>
      <c r="D277" t="s">
        <v>47</v>
      </c>
      <c r="E277" t="s">
        <v>14</v>
      </c>
      <c r="F277" t="s">
        <v>84</v>
      </c>
      <c r="G277" t="s">
        <v>16</v>
      </c>
      <c r="H277" t="s">
        <v>80</v>
      </c>
      <c r="I277">
        <v>6</v>
      </c>
      <c r="J277" s="1">
        <v>835.52</v>
      </c>
      <c r="K277">
        <v>0.01</v>
      </c>
      <c r="L277" s="1">
        <v>4761.71</v>
      </c>
      <c r="M277" s="1">
        <v>1237.08</v>
      </c>
      <c r="N277" s="1">
        <v>54.35</v>
      </c>
      <c r="O277" t="s">
        <v>43</v>
      </c>
      <c r="P277" t="s">
        <v>2149</v>
      </c>
      <c r="Q277" t="b">
        <v>0</v>
      </c>
      <c r="R277" t="s">
        <v>18</v>
      </c>
      <c r="S277">
        <v>2</v>
      </c>
      <c r="T277" t="e">
        <f>IF(#REF!&lt;=25, "Young Age", IF(#REF!&lt;=40, "Mid Age", "Old Age"))</f>
        <v>#REF!</v>
      </c>
      <c r="U277" t="str">
        <f t="shared" si="4"/>
        <v>Okay</v>
      </c>
    </row>
    <row r="278" spans="1:21" x14ac:dyDescent="0.35">
      <c r="A278" t="s">
        <v>707</v>
      </c>
      <c r="B278" s="13">
        <v>44332</v>
      </c>
      <c r="C278" t="s">
        <v>708</v>
      </c>
      <c r="D278" t="s">
        <v>13</v>
      </c>
      <c r="E278" t="s">
        <v>61</v>
      </c>
      <c r="F278" t="s">
        <v>104</v>
      </c>
      <c r="G278" t="s">
        <v>124</v>
      </c>
      <c r="H278" t="s">
        <v>156</v>
      </c>
      <c r="I278">
        <v>6</v>
      </c>
      <c r="J278" s="1">
        <v>3857.03</v>
      </c>
      <c r="K278">
        <v>0.3</v>
      </c>
      <c r="L278" s="1">
        <v>21548.37</v>
      </c>
      <c r="M278" s="1">
        <v>6137.14</v>
      </c>
      <c r="N278" s="1">
        <v>60.48</v>
      </c>
      <c r="O278" t="s">
        <v>43</v>
      </c>
      <c r="P278">
        <v>2</v>
      </c>
      <c r="Q278" t="b">
        <v>0</v>
      </c>
      <c r="R278" t="s">
        <v>18</v>
      </c>
      <c r="S278">
        <v>4</v>
      </c>
      <c r="T278" t="e">
        <f>IF(#REF!&lt;=25, "Young Age", IF(#REF!&lt;=40, "Mid Age", "Old Age"))</f>
        <v>#REF!</v>
      </c>
      <c r="U278" t="str">
        <f t="shared" si="4"/>
        <v>Okay</v>
      </c>
    </row>
    <row r="279" spans="1:21" x14ac:dyDescent="0.35">
      <c r="A279" t="s">
        <v>709</v>
      </c>
      <c r="B279" s="13">
        <v>44782</v>
      </c>
      <c r="C279" t="s">
        <v>710</v>
      </c>
      <c r="D279" t="s">
        <v>13</v>
      </c>
      <c r="E279" t="s">
        <v>89</v>
      </c>
      <c r="F279" t="s">
        <v>119</v>
      </c>
      <c r="G279" t="s">
        <v>55</v>
      </c>
      <c r="H279" t="s">
        <v>56</v>
      </c>
      <c r="I279">
        <v>1</v>
      </c>
      <c r="J279" s="1">
        <v>1170.22</v>
      </c>
      <c r="K279">
        <v>0.37</v>
      </c>
      <c r="L279" s="1">
        <v>1011.25</v>
      </c>
      <c r="M279" s="1">
        <v>422.66</v>
      </c>
      <c r="N279" s="1">
        <v>82.03</v>
      </c>
      <c r="O279" t="s">
        <v>8</v>
      </c>
      <c r="P279">
        <v>4</v>
      </c>
      <c r="Q279" t="b">
        <v>0</v>
      </c>
      <c r="R279" t="s">
        <v>18</v>
      </c>
      <c r="S279">
        <v>2</v>
      </c>
      <c r="T279" t="e">
        <f>IF(#REF!&lt;=25, "Young Age", IF(#REF!&lt;=40, "Mid Age", "Old Age"))</f>
        <v>#REF!</v>
      </c>
      <c r="U279" t="str">
        <f t="shared" si="4"/>
        <v>Okay</v>
      </c>
    </row>
    <row r="280" spans="1:21" x14ac:dyDescent="0.35">
      <c r="A280" t="s">
        <v>711</v>
      </c>
      <c r="B280" s="13">
        <v>44636</v>
      </c>
      <c r="C280" t="s">
        <v>712</v>
      </c>
      <c r="D280" t="s">
        <v>47</v>
      </c>
      <c r="E280" t="s">
        <v>53</v>
      </c>
      <c r="F280" t="s">
        <v>114</v>
      </c>
      <c r="G280" t="s">
        <v>55</v>
      </c>
      <c r="H280" t="s">
        <v>185</v>
      </c>
      <c r="I280">
        <v>5</v>
      </c>
      <c r="J280" s="1">
        <v>2505.4</v>
      </c>
      <c r="K280">
        <v>0.11</v>
      </c>
      <c r="L280" s="1">
        <v>12039.52</v>
      </c>
      <c r="M280" s="1">
        <v>4140.53</v>
      </c>
      <c r="N280" s="1">
        <v>57.65</v>
      </c>
      <c r="O280" t="s">
        <v>43</v>
      </c>
      <c r="P280" t="s">
        <v>2149</v>
      </c>
      <c r="Q280" t="b">
        <v>0</v>
      </c>
      <c r="R280" t="s">
        <v>18</v>
      </c>
      <c r="S280">
        <v>1</v>
      </c>
      <c r="T280" t="e">
        <f>IF(#REF!&lt;=25, "Young Age", IF(#REF!&lt;=40, "Mid Age", "Old Age"))</f>
        <v>#REF!</v>
      </c>
      <c r="U280" t="str">
        <f t="shared" si="4"/>
        <v>Okay</v>
      </c>
    </row>
    <row r="281" spans="1:21" x14ac:dyDescent="0.35">
      <c r="A281" t="s">
        <v>713</v>
      </c>
      <c r="B281" s="13">
        <v>45064</v>
      </c>
      <c r="C281" t="s">
        <v>714</v>
      </c>
      <c r="D281" t="s">
        <v>3</v>
      </c>
      <c r="E281" t="s">
        <v>53</v>
      </c>
      <c r="F281" t="s">
        <v>114</v>
      </c>
      <c r="G281" t="s">
        <v>105</v>
      </c>
      <c r="H281" t="s">
        <v>438</v>
      </c>
      <c r="I281">
        <v>2</v>
      </c>
      <c r="J281" s="1">
        <v>73267.64</v>
      </c>
      <c r="K281">
        <v>0.32</v>
      </c>
      <c r="L281" s="1">
        <v>142488.63</v>
      </c>
      <c r="M281" s="1">
        <v>20643.55</v>
      </c>
      <c r="N281" s="1">
        <v>69.989999999999995</v>
      </c>
      <c r="O281" t="s">
        <v>49</v>
      </c>
      <c r="P281">
        <v>2</v>
      </c>
      <c r="Q281" t="b">
        <v>0</v>
      </c>
      <c r="R281" t="s">
        <v>18</v>
      </c>
      <c r="S281">
        <v>6</v>
      </c>
      <c r="T281" t="e">
        <f>IF(#REF!&lt;=25, "Young Age", IF(#REF!&lt;=40, "Mid Age", "Old Age"))</f>
        <v>#REF!</v>
      </c>
      <c r="U281" t="str">
        <f t="shared" si="4"/>
        <v>Delayed</v>
      </c>
    </row>
    <row r="282" spans="1:21" x14ac:dyDescent="0.35">
      <c r="A282" t="s">
        <v>715</v>
      </c>
      <c r="B282" s="13">
        <v>45518</v>
      </c>
      <c r="C282" t="s">
        <v>716</v>
      </c>
      <c r="D282" t="s">
        <v>47</v>
      </c>
      <c r="E282" t="s">
        <v>14</v>
      </c>
      <c r="F282" t="s">
        <v>15</v>
      </c>
      <c r="G282" t="s">
        <v>41</v>
      </c>
      <c r="H282" t="s">
        <v>244</v>
      </c>
      <c r="I282">
        <v>3</v>
      </c>
      <c r="J282" s="1">
        <v>705.21</v>
      </c>
      <c r="K282">
        <v>0.14000000000000001</v>
      </c>
      <c r="L282" s="1">
        <v>2873.31</v>
      </c>
      <c r="M282" s="1">
        <v>1040.42</v>
      </c>
      <c r="N282" s="1">
        <v>76.63</v>
      </c>
      <c r="O282" t="s">
        <v>30</v>
      </c>
      <c r="P282">
        <v>1</v>
      </c>
      <c r="Q282" t="b">
        <v>0</v>
      </c>
      <c r="R282" t="s">
        <v>18</v>
      </c>
      <c r="S282">
        <v>8</v>
      </c>
      <c r="T282" t="e">
        <f>IF(#REF!&lt;=25, "Young Age", IF(#REF!&lt;=40, "Mid Age", "Old Age"))</f>
        <v>#REF!</v>
      </c>
      <c r="U282" t="str">
        <f t="shared" si="4"/>
        <v>Over Delayed</v>
      </c>
    </row>
    <row r="283" spans="1:21" x14ac:dyDescent="0.35">
      <c r="A283" t="s">
        <v>717</v>
      </c>
      <c r="B283" s="13">
        <v>44938</v>
      </c>
      <c r="C283" t="s">
        <v>718</v>
      </c>
      <c r="D283" t="s">
        <v>3</v>
      </c>
      <c r="E283" t="s">
        <v>53</v>
      </c>
      <c r="F283" t="s">
        <v>54</v>
      </c>
      <c r="G283" t="s">
        <v>124</v>
      </c>
      <c r="H283" t="s">
        <v>413</v>
      </c>
      <c r="I283">
        <v>6</v>
      </c>
      <c r="J283" s="1">
        <v>13916.75</v>
      </c>
      <c r="K283">
        <v>0.25</v>
      </c>
      <c r="L283" s="1">
        <v>54342.29</v>
      </c>
      <c r="M283" s="1">
        <v>12305.07</v>
      </c>
      <c r="N283" s="1">
        <v>38.89</v>
      </c>
      <c r="O283" t="s">
        <v>57</v>
      </c>
      <c r="P283">
        <v>4</v>
      </c>
      <c r="Q283" t="b">
        <v>0</v>
      </c>
      <c r="R283" t="s">
        <v>37</v>
      </c>
      <c r="S283" t="s">
        <v>2149</v>
      </c>
      <c r="T283" t="e">
        <f>IF(#REF!&lt;=25, "Young Age", IF(#REF!&lt;=40, "Mid Age", "Old Age"))</f>
        <v>#REF!</v>
      </c>
      <c r="U283" t="str">
        <f t="shared" si="4"/>
        <v>Over Delayed</v>
      </c>
    </row>
    <row r="284" spans="1:21" x14ac:dyDescent="0.35">
      <c r="A284" t="s">
        <v>719</v>
      </c>
      <c r="B284" s="13">
        <v>44788</v>
      </c>
      <c r="C284" t="s">
        <v>720</v>
      </c>
      <c r="D284" t="s">
        <v>3</v>
      </c>
      <c r="E284" t="s">
        <v>61</v>
      </c>
      <c r="F284" t="s">
        <v>271</v>
      </c>
      <c r="G284" t="s">
        <v>23</v>
      </c>
      <c r="H284" t="s">
        <v>24</v>
      </c>
      <c r="I284">
        <v>3</v>
      </c>
      <c r="J284" s="1">
        <v>23445.9</v>
      </c>
      <c r="K284">
        <v>0.31</v>
      </c>
      <c r="L284" s="1">
        <v>60026.42</v>
      </c>
      <c r="M284" s="1">
        <v>15012.25</v>
      </c>
      <c r="N284" s="1">
        <v>54.92</v>
      </c>
      <c r="O284" t="s">
        <v>49</v>
      </c>
      <c r="P284">
        <v>1</v>
      </c>
      <c r="Q284" t="b">
        <v>1</v>
      </c>
      <c r="R284" t="s">
        <v>9</v>
      </c>
      <c r="S284">
        <v>7</v>
      </c>
      <c r="T284" t="e">
        <f>IF(#REF!&lt;=25, "Young Age", IF(#REF!&lt;=40, "Mid Age", "Old Age"))</f>
        <v>#REF!</v>
      </c>
      <c r="U284" t="str">
        <f t="shared" si="4"/>
        <v>Delayed</v>
      </c>
    </row>
    <row r="285" spans="1:21" x14ac:dyDescent="0.35">
      <c r="A285" t="s">
        <v>721</v>
      </c>
      <c r="B285" s="13">
        <v>44714</v>
      </c>
      <c r="C285" t="s">
        <v>722</v>
      </c>
      <c r="D285" t="s">
        <v>47</v>
      </c>
      <c r="E285" t="s">
        <v>61</v>
      </c>
      <c r="F285" t="s">
        <v>62</v>
      </c>
      <c r="G285" t="s">
        <v>124</v>
      </c>
      <c r="H285" t="s">
        <v>156</v>
      </c>
      <c r="I285">
        <v>6</v>
      </c>
      <c r="J285" s="1">
        <v>6661.26</v>
      </c>
      <c r="K285">
        <v>0.13</v>
      </c>
      <c r="L285" s="1">
        <v>55550.3</v>
      </c>
      <c r="M285" s="1">
        <v>11352.36</v>
      </c>
      <c r="N285" s="1">
        <v>99.9</v>
      </c>
      <c r="O285" t="s">
        <v>43</v>
      </c>
      <c r="P285">
        <v>2</v>
      </c>
      <c r="Q285" t="b">
        <v>0</v>
      </c>
      <c r="R285" t="s">
        <v>18</v>
      </c>
      <c r="S285">
        <v>8</v>
      </c>
      <c r="T285" t="e">
        <f>IF(#REF!&lt;=25, "Young Age", IF(#REF!&lt;=40, "Mid Age", "Old Age"))</f>
        <v>#REF!</v>
      </c>
      <c r="U285" t="str">
        <f t="shared" si="4"/>
        <v>Over Delayed</v>
      </c>
    </row>
    <row r="286" spans="1:21" x14ac:dyDescent="0.35">
      <c r="A286" t="s">
        <v>723</v>
      </c>
      <c r="B286" s="13">
        <v>45147</v>
      </c>
      <c r="C286" t="s">
        <v>724</v>
      </c>
      <c r="D286" t="s">
        <v>13</v>
      </c>
      <c r="E286" t="s">
        <v>53</v>
      </c>
      <c r="F286" t="s">
        <v>54</v>
      </c>
      <c r="G286" t="s">
        <v>55</v>
      </c>
      <c r="H286" t="s">
        <v>56</v>
      </c>
      <c r="I286">
        <v>2</v>
      </c>
      <c r="J286" s="1">
        <v>3266.34</v>
      </c>
      <c r="K286">
        <v>0</v>
      </c>
      <c r="L286" s="1">
        <v>9066.91</v>
      </c>
      <c r="M286" s="1">
        <v>3755.8</v>
      </c>
      <c r="N286" s="1">
        <v>51.58</v>
      </c>
      <c r="O286" t="s">
        <v>43</v>
      </c>
      <c r="P286">
        <v>5</v>
      </c>
      <c r="Q286" t="b">
        <v>0</v>
      </c>
      <c r="R286" t="s">
        <v>18</v>
      </c>
      <c r="S286">
        <v>1</v>
      </c>
      <c r="T286" t="e">
        <f>IF(#REF!&lt;=25, "Young Age", IF(#REF!&lt;=40, "Mid Age", "Old Age"))</f>
        <v>#REF!</v>
      </c>
      <c r="U286" t="str">
        <f t="shared" si="4"/>
        <v>Okay</v>
      </c>
    </row>
    <row r="287" spans="1:21" x14ac:dyDescent="0.35">
      <c r="A287" t="s">
        <v>725</v>
      </c>
      <c r="B287" s="13">
        <v>45303</v>
      </c>
      <c r="C287" t="s">
        <v>726</v>
      </c>
      <c r="D287" t="s">
        <v>13</v>
      </c>
      <c r="E287" t="s">
        <v>89</v>
      </c>
      <c r="F287" t="s">
        <v>119</v>
      </c>
      <c r="G287" t="s">
        <v>16</v>
      </c>
      <c r="H287" t="s">
        <v>17</v>
      </c>
      <c r="I287">
        <v>1</v>
      </c>
      <c r="J287" s="1">
        <v>2339.83</v>
      </c>
      <c r="K287">
        <v>0.03</v>
      </c>
      <c r="L287" s="1">
        <v>2319.17</v>
      </c>
      <c r="M287" s="1">
        <v>1351.82</v>
      </c>
      <c r="N287" s="1">
        <v>88.12</v>
      </c>
      <c r="O287" t="s">
        <v>36</v>
      </c>
      <c r="P287">
        <v>3</v>
      </c>
      <c r="Q287" t="b">
        <v>0</v>
      </c>
      <c r="R287" t="s">
        <v>18</v>
      </c>
      <c r="S287">
        <v>10</v>
      </c>
      <c r="T287" t="e">
        <f>IF(#REF!&lt;=25, "Young Age", IF(#REF!&lt;=40, "Mid Age", "Old Age"))</f>
        <v>#REF!</v>
      </c>
      <c r="U287" t="str">
        <f t="shared" si="4"/>
        <v>Over Delayed</v>
      </c>
    </row>
    <row r="288" spans="1:21" x14ac:dyDescent="0.35">
      <c r="A288" t="s">
        <v>727</v>
      </c>
      <c r="B288" s="13">
        <v>44711</v>
      </c>
      <c r="C288" t="s">
        <v>728</v>
      </c>
      <c r="D288" t="s">
        <v>47</v>
      </c>
      <c r="E288" t="s">
        <v>61</v>
      </c>
      <c r="F288" t="s">
        <v>222</v>
      </c>
      <c r="G288" t="s">
        <v>16</v>
      </c>
      <c r="H288" t="s">
        <v>160</v>
      </c>
      <c r="I288">
        <v>8</v>
      </c>
      <c r="J288" s="1">
        <v>1075.32</v>
      </c>
      <c r="K288">
        <v>0.25</v>
      </c>
      <c r="L288" s="1">
        <v>9458.9500000000007</v>
      </c>
      <c r="M288" s="1">
        <v>4920.3500000000004</v>
      </c>
      <c r="N288" s="1">
        <v>101.65</v>
      </c>
      <c r="O288" t="s">
        <v>49</v>
      </c>
      <c r="P288">
        <v>1</v>
      </c>
      <c r="Q288" t="b">
        <v>1</v>
      </c>
      <c r="R288" t="s">
        <v>9</v>
      </c>
      <c r="S288">
        <v>8</v>
      </c>
      <c r="T288" t="e">
        <f>IF(#REF!&lt;=25, "Young Age", IF(#REF!&lt;=40, "Mid Age", "Old Age"))</f>
        <v>#REF!</v>
      </c>
      <c r="U288" t="str">
        <f t="shared" si="4"/>
        <v>Over Delayed</v>
      </c>
    </row>
    <row r="289" spans="1:21" x14ac:dyDescent="0.35">
      <c r="A289" t="s">
        <v>729</v>
      </c>
      <c r="B289" s="13">
        <v>43972</v>
      </c>
      <c r="C289" t="s">
        <v>730</v>
      </c>
      <c r="D289" t="s">
        <v>3</v>
      </c>
      <c r="E289" t="s">
        <v>61</v>
      </c>
      <c r="F289" t="s">
        <v>104</v>
      </c>
      <c r="G289" t="s">
        <v>105</v>
      </c>
      <c r="H289" t="s">
        <v>282</v>
      </c>
      <c r="J289" s="1">
        <v>59036.18</v>
      </c>
      <c r="K289">
        <v>0.38</v>
      </c>
      <c r="L289" s="1">
        <v>48186.78</v>
      </c>
      <c r="M289" s="1">
        <v>5073.5</v>
      </c>
      <c r="N289" s="1">
        <v>67</v>
      </c>
      <c r="O289" t="s">
        <v>36</v>
      </c>
      <c r="P289">
        <v>4</v>
      </c>
      <c r="Q289" t="b">
        <v>0</v>
      </c>
      <c r="R289" t="s">
        <v>18</v>
      </c>
      <c r="S289">
        <v>3</v>
      </c>
      <c r="T289" t="e">
        <f>IF(#REF!&lt;=25, "Young Age", IF(#REF!&lt;=40, "Mid Age", "Old Age"))</f>
        <v>#REF!</v>
      </c>
      <c r="U289" t="str">
        <f t="shared" si="4"/>
        <v>Okay</v>
      </c>
    </row>
    <row r="290" spans="1:21" x14ac:dyDescent="0.35">
      <c r="A290" t="s">
        <v>731</v>
      </c>
      <c r="B290" s="13">
        <v>45588</v>
      </c>
      <c r="C290" t="s">
        <v>732</v>
      </c>
      <c r="D290" t="s">
        <v>3</v>
      </c>
      <c r="E290" t="s">
        <v>4</v>
      </c>
      <c r="F290" t="s">
        <v>148</v>
      </c>
      <c r="G290" t="s">
        <v>6</v>
      </c>
      <c r="H290" t="s">
        <v>387</v>
      </c>
      <c r="I290">
        <v>8</v>
      </c>
      <c r="J290" s="1">
        <v>174.02</v>
      </c>
      <c r="K290">
        <v>0.14000000000000001</v>
      </c>
      <c r="L290" s="1">
        <v>1362</v>
      </c>
      <c r="M290" s="1">
        <v>107.89</v>
      </c>
      <c r="N290" s="1">
        <v>40.35</v>
      </c>
      <c r="O290" t="s">
        <v>43</v>
      </c>
      <c r="P290">
        <v>5</v>
      </c>
      <c r="Q290" t="b">
        <v>0</v>
      </c>
      <c r="R290" t="s">
        <v>18</v>
      </c>
      <c r="S290">
        <v>10</v>
      </c>
      <c r="T290" t="e">
        <f>IF(#REF!&lt;=25, "Young Age", IF(#REF!&lt;=40, "Mid Age", "Old Age"))</f>
        <v>#REF!</v>
      </c>
      <c r="U290" t="str">
        <f t="shared" si="4"/>
        <v>Over Delayed</v>
      </c>
    </row>
    <row r="291" spans="1:21" x14ac:dyDescent="0.35">
      <c r="A291" t="s">
        <v>733</v>
      </c>
      <c r="B291" s="13">
        <v>44787</v>
      </c>
      <c r="C291" t="s">
        <v>734</v>
      </c>
      <c r="D291" t="s">
        <v>3</v>
      </c>
      <c r="E291" t="s">
        <v>53</v>
      </c>
      <c r="F291" t="s">
        <v>54</v>
      </c>
      <c r="G291" t="s">
        <v>41</v>
      </c>
      <c r="H291" t="s">
        <v>129</v>
      </c>
      <c r="I291">
        <v>1</v>
      </c>
      <c r="J291" s="1">
        <v>1129.04</v>
      </c>
      <c r="K291">
        <v>0.28000000000000003</v>
      </c>
      <c r="L291" s="1">
        <v>1081.22</v>
      </c>
      <c r="M291" s="1">
        <v>412.61</v>
      </c>
      <c r="N291" s="1">
        <v>40.43</v>
      </c>
      <c r="O291" t="s">
        <v>36</v>
      </c>
      <c r="P291">
        <v>1</v>
      </c>
      <c r="Q291" t="b">
        <v>1</v>
      </c>
      <c r="R291" t="s">
        <v>9</v>
      </c>
      <c r="S291">
        <v>10</v>
      </c>
      <c r="T291" t="e">
        <f>IF(#REF!&lt;=25, "Young Age", IF(#REF!&lt;=40, "Mid Age", "Old Age"))</f>
        <v>#REF!</v>
      </c>
      <c r="U291" t="str">
        <f t="shared" si="4"/>
        <v>Over Delayed</v>
      </c>
    </row>
    <row r="292" spans="1:21" x14ac:dyDescent="0.35">
      <c r="A292" t="s">
        <v>735</v>
      </c>
      <c r="B292" s="13">
        <v>45439</v>
      </c>
      <c r="C292" t="s">
        <v>736</v>
      </c>
      <c r="D292" t="s">
        <v>3</v>
      </c>
      <c r="E292" t="s">
        <v>14</v>
      </c>
      <c r="F292" t="s">
        <v>15</v>
      </c>
      <c r="G292" t="s">
        <v>16</v>
      </c>
      <c r="H292" t="s">
        <v>17</v>
      </c>
      <c r="I292">
        <v>4</v>
      </c>
      <c r="J292" s="1">
        <v>722.47</v>
      </c>
      <c r="K292">
        <v>0.19</v>
      </c>
      <c r="L292" s="1">
        <v>4358.7299999999996</v>
      </c>
      <c r="M292" s="1">
        <v>1526.73</v>
      </c>
      <c r="N292" s="1">
        <v>71.989999999999995</v>
      </c>
      <c r="O292" t="s">
        <v>30</v>
      </c>
      <c r="P292">
        <v>1</v>
      </c>
      <c r="Q292" t="b">
        <v>0</v>
      </c>
      <c r="R292" t="s">
        <v>63</v>
      </c>
      <c r="S292">
        <v>7</v>
      </c>
      <c r="T292" t="e">
        <f>IF(#REF!&lt;=25, "Young Age", IF(#REF!&lt;=40, "Mid Age", "Old Age"))</f>
        <v>#REF!</v>
      </c>
      <c r="U292" t="str">
        <f t="shared" si="4"/>
        <v>Delayed</v>
      </c>
    </row>
    <row r="293" spans="1:21" x14ac:dyDescent="0.35">
      <c r="A293" t="s">
        <v>737</v>
      </c>
      <c r="B293" s="13">
        <v>44420</v>
      </c>
      <c r="C293" t="s">
        <v>738</v>
      </c>
      <c r="D293" t="s">
        <v>13</v>
      </c>
      <c r="E293" t="s">
        <v>53</v>
      </c>
      <c r="F293" t="s">
        <v>114</v>
      </c>
      <c r="G293" t="s">
        <v>16</v>
      </c>
      <c r="H293" t="s">
        <v>17</v>
      </c>
      <c r="I293">
        <v>2</v>
      </c>
      <c r="J293" s="1">
        <v>542.62</v>
      </c>
      <c r="K293">
        <v>0.14000000000000001</v>
      </c>
      <c r="L293" s="1">
        <v>971.77</v>
      </c>
      <c r="M293" s="1">
        <v>443.38</v>
      </c>
      <c r="N293" s="1">
        <v>61.76</v>
      </c>
      <c r="O293" t="s">
        <v>57</v>
      </c>
      <c r="P293">
        <v>4</v>
      </c>
      <c r="Q293" t="b">
        <v>0</v>
      </c>
      <c r="R293" t="s">
        <v>18</v>
      </c>
      <c r="S293">
        <v>3</v>
      </c>
      <c r="T293" t="e">
        <f>IF(#REF!&lt;=25, "Young Age", IF(#REF!&lt;=40, "Mid Age", "Old Age"))</f>
        <v>#REF!</v>
      </c>
      <c r="U293" t="str">
        <f t="shared" si="4"/>
        <v>Okay</v>
      </c>
    </row>
    <row r="294" spans="1:21" x14ac:dyDescent="0.35">
      <c r="A294" t="s">
        <v>739</v>
      </c>
      <c r="B294" s="13">
        <v>44194</v>
      </c>
      <c r="C294" t="s">
        <v>740</v>
      </c>
      <c r="D294" t="s">
        <v>13</v>
      </c>
      <c r="E294" t="s">
        <v>89</v>
      </c>
      <c r="F294" t="s">
        <v>119</v>
      </c>
      <c r="G294" t="s">
        <v>16</v>
      </c>
      <c r="H294" t="s">
        <v>209</v>
      </c>
      <c r="I294">
        <v>4</v>
      </c>
      <c r="J294" s="1">
        <v>197.52</v>
      </c>
      <c r="K294">
        <v>0.35</v>
      </c>
      <c r="L294" s="1">
        <v>379.18</v>
      </c>
      <c r="M294" s="1">
        <v>169.93</v>
      </c>
      <c r="N294" s="1">
        <v>61.28</v>
      </c>
      <c r="O294" t="s">
        <v>30</v>
      </c>
      <c r="P294">
        <v>3</v>
      </c>
      <c r="Q294" t="b">
        <v>0</v>
      </c>
      <c r="R294" t="s">
        <v>18</v>
      </c>
      <c r="S294">
        <v>2</v>
      </c>
      <c r="T294" t="e">
        <f>IF(#REF!&lt;=25, "Young Age", IF(#REF!&lt;=40, "Mid Age", "Old Age"))</f>
        <v>#REF!</v>
      </c>
      <c r="U294" t="str">
        <f t="shared" si="4"/>
        <v>Okay</v>
      </c>
    </row>
    <row r="295" spans="1:21" x14ac:dyDescent="0.35">
      <c r="A295" t="s">
        <v>741</v>
      </c>
      <c r="B295" s="13">
        <v>43842</v>
      </c>
      <c r="C295" t="s">
        <v>742</v>
      </c>
      <c r="D295" t="s">
        <v>3</v>
      </c>
      <c r="E295" t="s">
        <v>14</v>
      </c>
      <c r="F295" t="s">
        <v>15</v>
      </c>
      <c r="G295" t="s">
        <v>6</v>
      </c>
      <c r="H295" t="s">
        <v>387</v>
      </c>
      <c r="I295">
        <v>0</v>
      </c>
      <c r="J295" s="1">
        <v>315.85000000000002</v>
      </c>
      <c r="K295">
        <v>0.13</v>
      </c>
      <c r="L295" s="1">
        <v>203.41</v>
      </c>
      <c r="M295" s="1">
        <v>13.82</v>
      </c>
      <c r="N295" s="1">
        <v>60.46</v>
      </c>
      <c r="O295" t="s">
        <v>43</v>
      </c>
      <c r="P295">
        <v>5</v>
      </c>
      <c r="Q295" t="b">
        <v>0</v>
      </c>
      <c r="R295" t="s">
        <v>18</v>
      </c>
      <c r="S295">
        <v>10</v>
      </c>
      <c r="T295" t="e">
        <f>IF(#REF!&lt;=25, "Young Age", IF(#REF!&lt;=40, "Mid Age", "Old Age"))</f>
        <v>#REF!</v>
      </c>
      <c r="U295" t="str">
        <f t="shared" si="4"/>
        <v>Over Delayed</v>
      </c>
    </row>
    <row r="296" spans="1:21" x14ac:dyDescent="0.35">
      <c r="A296" t="s">
        <v>743</v>
      </c>
      <c r="B296" s="13">
        <v>44984</v>
      </c>
      <c r="C296" t="s">
        <v>744</v>
      </c>
      <c r="D296" t="s">
        <v>13</v>
      </c>
      <c r="E296" t="s">
        <v>61</v>
      </c>
      <c r="F296" t="s">
        <v>62</v>
      </c>
      <c r="G296" t="s">
        <v>6</v>
      </c>
      <c r="H296" t="s">
        <v>75</v>
      </c>
      <c r="I296">
        <v>4</v>
      </c>
      <c r="J296" s="1">
        <v>230.58</v>
      </c>
      <c r="K296">
        <v>0.17</v>
      </c>
      <c r="L296" s="1">
        <v>768.3</v>
      </c>
      <c r="M296" s="1">
        <v>50.26</v>
      </c>
      <c r="N296" s="1">
        <v>81.52</v>
      </c>
      <c r="O296" t="s">
        <v>57</v>
      </c>
      <c r="P296">
        <v>1</v>
      </c>
      <c r="Q296" t="b">
        <v>0</v>
      </c>
      <c r="R296" t="s">
        <v>18</v>
      </c>
      <c r="S296">
        <v>1</v>
      </c>
      <c r="T296" t="e">
        <f>IF(#REF!&lt;=25, "Young Age", IF(#REF!&lt;=40, "Mid Age", "Old Age"))</f>
        <v>#REF!</v>
      </c>
      <c r="U296" t="str">
        <f t="shared" si="4"/>
        <v>Okay</v>
      </c>
    </row>
    <row r="297" spans="1:21" x14ac:dyDescent="0.35">
      <c r="A297" t="s">
        <v>745</v>
      </c>
      <c r="B297" s="13">
        <v>44674</v>
      </c>
      <c r="C297" t="s">
        <v>746</v>
      </c>
      <c r="D297" t="s">
        <v>13</v>
      </c>
      <c r="E297" t="s">
        <v>4</v>
      </c>
      <c r="F297" t="s">
        <v>5</v>
      </c>
      <c r="G297" t="s">
        <v>124</v>
      </c>
      <c r="H297" t="s">
        <v>156</v>
      </c>
      <c r="I297">
        <v>6</v>
      </c>
      <c r="J297" s="1">
        <v>12397.94</v>
      </c>
      <c r="K297">
        <v>0.35</v>
      </c>
      <c r="L297" s="1">
        <v>69539.73</v>
      </c>
      <c r="M297" s="1">
        <v>14673.82</v>
      </c>
      <c r="N297" s="1">
        <v>51.27</v>
      </c>
      <c r="O297" t="s">
        <v>57</v>
      </c>
      <c r="P297">
        <v>2</v>
      </c>
      <c r="Q297" t="b">
        <v>0</v>
      </c>
      <c r="R297" t="s">
        <v>18</v>
      </c>
      <c r="S297">
        <v>1</v>
      </c>
      <c r="T297" t="e">
        <f>IF(#REF!&lt;=25, "Young Age", IF(#REF!&lt;=40, "Mid Age", "Old Age"))</f>
        <v>#REF!</v>
      </c>
      <c r="U297" t="str">
        <f t="shared" si="4"/>
        <v>Okay</v>
      </c>
    </row>
    <row r="298" spans="1:21" x14ac:dyDescent="0.35">
      <c r="A298" t="s">
        <v>747</v>
      </c>
      <c r="B298" s="13">
        <v>44178</v>
      </c>
      <c r="C298" t="s">
        <v>748</v>
      </c>
      <c r="D298" t="s">
        <v>47</v>
      </c>
      <c r="E298" t="s">
        <v>53</v>
      </c>
      <c r="F298" t="s">
        <v>54</v>
      </c>
      <c r="G298" t="s">
        <v>41</v>
      </c>
      <c r="H298" t="s">
        <v>244</v>
      </c>
      <c r="I298">
        <v>6</v>
      </c>
      <c r="J298" s="1">
        <v>526.32000000000005</v>
      </c>
      <c r="K298">
        <v>0.14000000000000001</v>
      </c>
      <c r="L298" s="1">
        <v>1927.61</v>
      </c>
      <c r="M298" s="1">
        <v>588.73</v>
      </c>
      <c r="N298" s="1">
        <v>49.68</v>
      </c>
      <c r="O298" t="s">
        <v>49</v>
      </c>
      <c r="P298">
        <v>3</v>
      </c>
      <c r="Q298" t="b">
        <v>1</v>
      </c>
      <c r="R298" t="s">
        <v>9</v>
      </c>
      <c r="S298">
        <v>3</v>
      </c>
      <c r="T298" t="e">
        <f>IF(#REF!&lt;=25, "Young Age", IF(#REF!&lt;=40, "Mid Age", "Old Age"))</f>
        <v>#REF!</v>
      </c>
      <c r="U298" t="str">
        <f t="shared" si="4"/>
        <v>Okay</v>
      </c>
    </row>
    <row r="299" spans="1:21" x14ac:dyDescent="0.35">
      <c r="A299" t="s">
        <v>749</v>
      </c>
      <c r="B299" s="13">
        <v>45494</v>
      </c>
      <c r="C299" t="s">
        <v>750</v>
      </c>
      <c r="D299" t="s">
        <v>3</v>
      </c>
      <c r="E299" t="s">
        <v>53</v>
      </c>
      <c r="F299" t="s">
        <v>170</v>
      </c>
      <c r="G299" t="s">
        <v>6</v>
      </c>
      <c r="H299" t="s">
        <v>387</v>
      </c>
      <c r="I299">
        <v>6</v>
      </c>
      <c r="J299" s="1">
        <v>112.85</v>
      </c>
      <c r="K299">
        <v>0.13</v>
      </c>
      <c r="L299" s="1">
        <v>1196.1099999999999</v>
      </c>
      <c r="M299" s="1">
        <v>116.49</v>
      </c>
      <c r="N299" s="1">
        <v>40.89</v>
      </c>
      <c r="O299" t="s">
        <v>43</v>
      </c>
      <c r="P299">
        <v>5</v>
      </c>
      <c r="Q299" t="b">
        <v>1</v>
      </c>
      <c r="R299" t="s">
        <v>9</v>
      </c>
      <c r="S299">
        <v>8</v>
      </c>
      <c r="T299" t="e">
        <f>IF(#REF!&lt;=25, "Young Age", IF(#REF!&lt;=40, "Mid Age", "Old Age"))</f>
        <v>#REF!</v>
      </c>
      <c r="U299" t="str">
        <f t="shared" si="4"/>
        <v>Over Delayed</v>
      </c>
    </row>
    <row r="300" spans="1:21" x14ac:dyDescent="0.35">
      <c r="A300" t="s">
        <v>751</v>
      </c>
      <c r="B300" s="13">
        <v>45142</v>
      </c>
      <c r="C300" t="s">
        <v>752</v>
      </c>
      <c r="D300" t="s">
        <v>3</v>
      </c>
      <c r="E300" t="s">
        <v>53</v>
      </c>
      <c r="F300" t="s">
        <v>114</v>
      </c>
      <c r="G300" t="s">
        <v>6</v>
      </c>
      <c r="H300" t="s">
        <v>387</v>
      </c>
      <c r="I300">
        <v>6</v>
      </c>
      <c r="J300" s="1">
        <v>184.04</v>
      </c>
      <c r="K300">
        <v>0.32</v>
      </c>
      <c r="L300" s="1">
        <v>1193.08</v>
      </c>
      <c r="M300" s="1">
        <v>80.930000000000007</v>
      </c>
      <c r="N300" s="1">
        <v>70.55</v>
      </c>
      <c r="O300" t="s">
        <v>49</v>
      </c>
      <c r="P300">
        <v>5</v>
      </c>
      <c r="Q300" t="b">
        <v>0</v>
      </c>
      <c r="R300" t="s">
        <v>18</v>
      </c>
      <c r="S300">
        <v>1</v>
      </c>
      <c r="T300" t="e">
        <f>IF(#REF!&lt;=25, "Young Age", IF(#REF!&lt;=40, "Mid Age", "Old Age"))</f>
        <v>#REF!</v>
      </c>
      <c r="U300" t="str">
        <f t="shared" si="4"/>
        <v>Okay</v>
      </c>
    </row>
    <row r="301" spans="1:21" x14ac:dyDescent="0.35">
      <c r="A301" t="s">
        <v>753</v>
      </c>
      <c r="B301" s="13">
        <v>45045</v>
      </c>
      <c r="C301" t="s">
        <v>754</v>
      </c>
      <c r="D301" t="s">
        <v>47</v>
      </c>
      <c r="E301" t="s">
        <v>61</v>
      </c>
      <c r="F301" t="s">
        <v>104</v>
      </c>
      <c r="G301" t="s">
        <v>16</v>
      </c>
      <c r="H301" t="s">
        <v>160</v>
      </c>
      <c r="I301">
        <v>7</v>
      </c>
      <c r="J301" s="1">
        <v>1050.3800000000001</v>
      </c>
      <c r="K301">
        <v>0.06</v>
      </c>
      <c r="L301" s="1">
        <v>8746.39</v>
      </c>
      <c r="M301" s="1">
        <v>3436.69</v>
      </c>
      <c r="N301" s="1">
        <v>85.61</v>
      </c>
      <c r="O301" t="s">
        <v>8</v>
      </c>
      <c r="P301">
        <v>3</v>
      </c>
      <c r="Q301" t="b">
        <v>0</v>
      </c>
      <c r="R301" t="s">
        <v>18</v>
      </c>
      <c r="S301">
        <v>5</v>
      </c>
      <c r="T301" t="e">
        <f>IF(#REF!&lt;=25, "Young Age", IF(#REF!&lt;=40, "Mid Age", "Old Age"))</f>
        <v>#REF!</v>
      </c>
      <c r="U301" t="str">
        <f t="shared" si="4"/>
        <v>Delayed</v>
      </c>
    </row>
    <row r="302" spans="1:21" x14ac:dyDescent="0.35">
      <c r="A302" t="s">
        <v>755</v>
      </c>
      <c r="B302" s="13">
        <v>45136</v>
      </c>
      <c r="C302" t="s">
        <v>756</v>
      </c>
      <c r="D302" t="s">
        <v>47</v>
      </c>
      <c r="E302" t="s">
        <v>89</v>
      </c>
      <c r="F302" t="s">
        <v>90</v>
      </c>
      <c r="G302" t="s">
        <v>124</v>
      </c>
      <c r="H302" t="s">
        <v>125</v>
      </c>
      <c r="J302" s="1">
        <v>8903.5499999999993</v>
      </c>
      <c r="K302">
        <v>0.12</v>
      </c>
      <c r="L302" s="1">
        <v>11991.16</v>
      </c>
      <c r="M302" s="1">
        <v>1852.66</v>
      </c>
      <c r="N302" s="1">
        <v>64.95</v>
      </c>
      <c r="O302" t="s">
        <v>8</v>
      </c>
      <c r="P302" t="s">
        <v>2149</v>
      </c>
      <c r="Q302" t="b">
        <v>1</v>
      </c>
      <c r="R302" t="s">
        <v>9</v>
      </c>
      <c r="S302">
        <v>7</v>
      </c>
      <c r="T302" t="e">
        <f>IF(#REF!&lt;=25, "Young Age", IF(#REF!&lt;=40, "Mid Age", "Old Age"))</f>
        <v>#REF!</v>
      </c>
      <c r="U302" t="str">
        <f t="shared" si="4"/>
        <v>Delayed</v>
      </c>
    </row>
    <row r="303" spans="1:21" x14ac:dyDescent="0.35">
      <c r="A303" t="s">
        <v>757</v>
      </c>
      <c r="B303" s="13">
        <v>44423</v>
      </c>
      <c r="C303" t="s">
        <v>758</v>
      </c>
      <c r="D303" t="s">
        <v>13</v>
      </c>
      <c r="E303" t="s">
        <v>4</v>
      </c>
      <c r="F303" t="s">
        <v>5</v>
      </c>
      <c r="G303" t="s">
        <v>16</v>
      </c>
      <c r="H303" t="s">
        <v>160</v>
      </c>
      <c r="I303">
        <v>4</v>
      </c>
      <c r="J303" s="1">
        <v>525.04999999999995</v>
      </c>
      <c r="K303">
        <v>0.02</v>
      </c>
      <c r="L303" s="1">
        <v>2333.9899999999998</v>
      </c>
      <c r="M303" s="1">
        <v>964.12</v>
      </c>
      <c r="N303" s="1">
        <v>71.8</v>
      </c>
      <c r="O303" t="s">
        <v>30</v>
      </c>
      <c r="P303">
        <v>5</v>
      </c>
      <c r="Q303" t="b">
        <v>0</v>
      </c>
      <c r="R303" t="s">
        <v>18</v>
      </c>
      <c r="S303">
        <v>1</v>
      </c>
      <c r="T303" t="e">
        <f>IF(#REF!&lt;=25, "Young Age", IF(#REF!&lt;=40, "Mid Age", "Old Age"))</f>
        <v>#REF!</v>
      </c>
      <c r="U303" t="str">
        <f t="shared" si="4"/>
        <v>Okay</v>
      </c>
    </row>
    <row r="304" spans="1:21" x14ac:dyDescent="0.35">
      <c r="A304" t="s">
        <v>759</v>
      </c>
      <c r="B304" s="13">
        <v>45399</v>
      </c>
      <c r="C304" t="s">
        <v>760</v>
      </c>
      <c r="D304" t="s">
        <v>3</v>
      </c>
      <c r="E304" t="s">
        <v>4</v>
      </c>
      <c r="F304" t="s">
        <v>148</v>
      </c>
      <c r="G304" t="s">
        <v>55</v>
      </c>
      <c r="H304" t="s">
        <v>185</v>
      </c>
      <c r="I304">
        <v>5</v>
      </c>
      <c r="J304" s="1">
        <v>3541.45</v>
      </c>
      <c r="K304">
        <v>0.23</v>
      </c>
      <c r="L304" s="1">
        <v>19925.91</v>
      </c>
      <c r="M304" s="1">
        <v>8625.6200000000008</v>
      </c>
      <c r="N304" s="1">
        <v>58</v>
      </c>
      <c r="O304" t="s">
        <v>43</v>
      </c>
      <c r="P304">
        <v>3</v>
      </c>
      <c r="Q304" t="b">
        <v>0</v>
      </c>
      <c r="R304" t="s">
        <v>37</v>
      </c>
      <c r="S304">
        <v>9</v>
      </c>
      <c r="T304" t="e">
        <f>IF(#REF!&lt;=25, "Young Age", IF(#REF!&lt;=40, "Mid Age", "Old Age"))</f>
        <v>#REF!</v>
      </c>
      <c r="U304" t="str">
        <f t="shared" si="4"/>
        <v>Over Delayed</v>
      </c>
    </row>
    <row r="305" spans="1:21" x14ac:dyDescent="0.35">
      <c r="A305" t="s">
        <v>761</v>
      </c>
      <c r="B305" s="13">
        <v>44382</v>
      </c>
      <c r="C305" t="s">
        <v>762</v>
      </c>
      <c r="D305" t="s">
        <v>13</v>
      </c>
      <c r="E305" t="s">
        <v>61</v>
      </c>
      <c r="F305" t="s">
        <v>271</v>
      </c>
      <c r="G305" t="s">
        <v>55</v>
      </c>
      <c r="H305" t="s">
        <v>56</v>
      </c>
      <c r="I305">
        <v>9</v>
      </c>
      <c r="J305" s="1">
        <v>1326.38</v>
      </c>
      <c r="K305">
        <v>0.16</v>
      </c>
      <c r="L305" s="1">
        <v>11602.32</v>
      </c>
      <c r="M305" s="1">
        <v>4308.95</v>
      </c>
      <c r="N305" s="1">
        <v>58.85</v>
      </c>
      <c r="O305" t="s">
        <v>49</v>
      </c>
      <c r="P305">
        <v>4</v>
      </c>
      <c r="Q305" t="b">
        <v>0</v>
      </c>
      <c r="R305" t="s">
        <v>18</v>
      </c>
      <c r="S305">
        <v>1</v>
      </c>
      <c r="T305" t="e">
        <f>IF(#REF!&lt;=25, "Young Age", IF(#REF!&lt;=40, "Mid Age", "Old Age"))</f>
        <v>#REF!</v>
      </c>
      <c r="U305" t="str">
        <f t="shared" si="4"/>
        <v>Okay</v>
      </c>
    </row>
    <row r="306" spans="1:21" x14ac:dyDescent="0.35">
      <c r="A306" t="s">
        <v>763</v>
      </c>
      <c r="B306" s="13">
        <v>45108</v>
      </c>
      <c r="C306" t="s">
        <v>764</v>
      </c>
      <c r="D306" t="s">
        <v>3</v>
      </c>
      <c r="E306" t="s">
        <v>89</v>
      </c>
      <c r="F306" t="s">
        <v>90</v>
      </c>
      <c r="G306" t="s">
        <v>23</v>
      </c>
      <c r="H306" t="s">
        <v>164</v>
      </c>
      <c r="I306">
        <v>2</v>
      </c>
      <c r="J306" s="1">
        <v>26714.83</v>
      </c>
      <c r="K306">
        <v>0.23</v>
      </c>
      <c r="L306" s="1">
        <v>63871.89</v>
      </c>
      <c r="M306" s="1">
        <v>16676.939999999999</v>
      </c>
      <c r="N306" s="1">
        <v>67.209999999999994</v>
      </c>
      <c r="O306" t="s">
        <v>57</v>
      </c>
      <c r="P306">
        <v>5</v>
      </c>
      <c r="Q306" t="b">
        <v>0</v>
      </c>
      <c r="R306" t="s">
        <v>175</v>
      </c>
      <c r="S306">
        <v>7</v>
      </c>
      <c r="T306" t="e">
        <f>IF(#REF!&lt;=25, "Young Age", IF(#REF!&lt;=40, "Mid Age", "Old Age"))</f>
        <v>#REF!</v>
      </c>
      <c r="U306" t="str">
        <f t="shared" si="4"/>
        <v>Delayed</v>
      </c>
    </row>
    <row r="307" spans="1:21" x14ac:dyDescent="0.35">
      <c r="A307" t="s">
        <v>765</v>
      </c>
      <c r="B307" s="13">
        <v>44972</v>
      </c>
      <c r="C307" t="s">
        <v>766</v>
      </c>
      <c r="D307" t="s">
        <v>13</v>
      </c>
      <c r="E307" t="s">
        <v>89</v>
      </c>
      <c r="F307" t="s">
        <v>299</v>
      </c>
      <c r="G307" t="s">
        <v>16</v>
      </c>
      <c r="H307" t="s">
        <v>390</v>
      </c>
      <c r="I307">
        <v>9</v>
      </c>
      <c r="J307" s="1">
        <v>1698.6</v>
      </c>
      <c r="K307">
        <v>0.25</v>
      </c>
      <c r="L307" s="1">
        <v>12379.8</v>
      </c>
      <c r="M307" s="1">
        <v>4098.1499999999996</v>
      </c>
      <c r="N307" s="1">
        <v>63.7</v>
      </c>
      <c r="O307" t="s">
        <v>30</v>
      </c>
      <c r="P307" t="s">
        <v>2149</v>
      </c>
      <c r="Q307" t="b">
        <v>0</v>
      </c>
      <c r="R307" t="s">
        <v>18</v>
      </c>
      <c r="S307">
        <v>1</v>
      </c>
      <c r="T307" t="e">
        <f>IF(#REF!&lt;=25, "Young Age", IF(#REF!&lt;=40, "Mid Age", "Old Age"))</f>
        <v>#REF!</v>
      </c>
      <c r="U307" t="str">
        <f t="shared" si="4"/>
        <v>Okay</v>
      </c>
    </row>
    <row r="308" spans="1:21" x14ac:dyDescent="0.35">
      <c r="A308" t="s">
        <v>767</v>
      </c>
      <c r="B308" s="13">
        <v>44726</v>
      </c>
      <c r="C308" t="s">
        <v>768</v>
      </c>
      <c r="D308" t="s">
        <v>13</v>
      </c>
      <c r="E308" t="s">
        <v>14</v>
      </c>
      <c r="F308" t="s">
        <v>84</v>
      </c>
      <c r="G308" t="s">
        <v>124</v>
      </c>
      <c r="H308" t="s">
        <v>139</v>
      </c>
      <c r="I308">
        <v>1</v>
      </c>
      <c r="J308" s="1">
        <v>13827.19</v>
      </c>
      <c r="K308">
        <v>0.4</v>
      </c>
      <c r="L308" s="1">
        <v>13665.74</v>
      </c>
      <c r="M308" s="1">
        <v>2472.59</v>
      </c>
      <c r="N308" s="1">
        <v>24.48</v>
      </c>
      <c r="O308" t="s">
        <v>36</v>
      </c>
      <c r="P308">
        <v>3</v>
      </c>
      <c r="Q308" t="b">
        <v>0</v>
      </c>
      <c r="R308" t="s">
        <v>63</v>
      </c>
      <c r="S308">
        <v>3</v>
      </c>
      <c r="T308" t="e">
        <f>IF(#REF!&lt;=25, "Young Age", IF(#REF!&lt;=40, "Mid Age", "Old Age"))</f>
        <v>#REF!</v>
      </c>
      <c r="U308" t="str">
        <f t="shared" si="4"/>
        <v>Okay</v>
      </c>
    </row>
    <row r="309" spans="1:21" x14ac:dyDescent="0.35">
      <c r="A309" t="s">
        <v>769</v>
      </c>
      <c r="B309" s="13">
        <v>44774</v>
      </c>
      <c r="C309" t="s">
        <v>770</v>
      </c>
      <c r="D309" t="s">
        <v>47</v>
      </c>
      <c r="E309" t="s">
        <v>14</v>
      </c>
      <c r="F309" t="s">
        <v>22</v>
      </c>
      <c r="G309" t="s">
        <v>16</v>
      </c>
      <c r="H309" t="s">
        <v>17</v>
      </c>
      <c r="I309">
        <v>4</v>
      </c>
      <c r="J309" s="1">
        <v>356.27</v>
      </c>
      <c r="K309">
        <v>0.25</v>
      </c>
      <c r="L309" s="1">
        <v>1442.88</v>
      </c>
      <c r="M309" s="1">
        <v>531.29999999999995</v>
      </c>
      <c r="N309" s="1">
        <v>38.090000000000003</v>
      </c>
      <c r="O309" t="s">
        <v>36</v>
      </c>
      <c r="P309">
        <v>5</v>
      </c>
      <c r="Q309" t="b">
        <v>0</v>
      </c>
      <c r="R309" t="s">
        <v>18</v>
      </c>
      <c r="S309">
        <v>5</v>
      </c>
      <c r="T309" t="e">
        <f>IF(#REF!&lt;=25, "Young Age", IF(#REF!&lt;=40, "Mid Age", "Old Age"))</f>
        <v>#REF!</v>
      </c>
      <c r="U309" t="str">
        <f t="shared" si="4"/>
        <v>Delayed</v>
      </c>
    </row>
    <row r="310" spans="1:21" x14ac:dyDescent="0.35">
      <c r="A310" t="s">
        <v>771</v>
      </c>
      <c r="B310" s="13">
        <v>44637</v>
      </c>
      <c r="C310" t="s">
        <v>772</v>
      </c>
      <c r="D310" t="s">
        <v>13</v>
      </c>
      <c r="E310" t="s">
        <v>89</v>
      </c>
      <c r="F310" t="s">
        <v>99</v>
      </c>
      <c r="G310" t="s">
        <v>16</v>
      </c>
      <c r="H310" t="s">
        <v>17</v>
      </c>
      <c r="I310">
        <v>2</v>
      </c>
      <c r="J310" s="1">
        <v>563.96</v>
      </c>
      <c r="K310">
        <v>0</v>
      </c>
      <c r="L310" s="1">
        <v>1382.93</v>
      </c>
      <c r="M310" s="1">
        <v>529.71</v>
      </c>
      <c r="N310" s="1">
        <v>100.92</v>
      </c>
      <c r="O310" t="s">
        <v>43</v>
      </c>
      <c r="P310">
        <v>4</v>
      </c>
      <c r="Q310" t="b">
        <v>0</v>
      </c>
      <c r="R310" t="s">
        <v>18</v>
      </c>
      <c r="S310">
        <v>1</v>
      </c>
      <c r="T310" t="e">
        <f>IF(#REF!&lt;=25, "Young Age", IF(#REF!&lt;=40, "Mid Age", "Old Age"))</f>
        <v>#REF!</v>
      </c>
      <c r="U310" t="str">
        <f t="shared" si="4"/>
        <v>Okay</v>
      </c>
    </row>
    <row r="311" spans="1:21" x14ac:dyDescent="0.35">
      <c r="A311" t="s">
        <v>773</v>
      </c>
      <c r="B311" s="13">
        <v>45425</v>
      </c>
      <c r="C311" t="s">
        <v>774</v>
      </c>
      <c r="D311" t="s">
        <v>47</v>
      </c>
      <c r="E311" t="s">
        <v>61</v>
      </c>
      <c r="F311" t="s">
        <v>271</v>
      </c>
      <c r="G311" t="s">
        <v>105</v>
      </c>
      <c r="H311" t="s">
        <v>106</v>
      </c>
      <c r="I311">
        <v>1</v>
      </c>
      <c r="J311" s="1">
        <v>42744.12</v>
      </c>
      <c r="K311">
        <v>0.28999999999999998</v>
      </c>
      <c r="L311" s="1">
        <v>49034.559999999998</v>
      </c>
      <c r="M311" s="1">
        <v>5764.27</v>
      </c>
      <c r="N311" s="1">
        <v>81.41</v>
      </c>
      <c r="O311" t="s">
        <v>8</v>
      </c>
      <c r="P311">
        <v>4</v>
      </c>
      <c r="Q311" t="b">
        <v>0</v>
      </c>
      <c r="R311" t="s">
        <v>18</v>
      </c>
      <c r="S311">
        <v>8</v>
      </c>
      <c r="T311" t="e">
        <f>IF(#REF!&lt;=25, "Young Age", IF(#REF!&lt;=40, "Mid Age", "Old Age"))</f>
        <v>#REF!</v>
      </c>
      <c r="U311" t="str">
        <f t="shared" si="4"/>
        <v>Over Delayed</v>
      </c>
    </row>
    <row r="312" spans="1:21" x14ac:dyDescent="0.35">
      <c r="A312" t="s">
        <v>775</v>
      </c>
      <c r="B312" s="13">
        <v>45555</v>
      </c>
      <c r="C312" t="s">
        <v>776</v>
      </c>
      <c r="D312" t="s">
        <v>47</v>
      </c>
      <c r="E312" t="s">
        <v>89</v>
      </c>
      <c r="F312" t="s">
        <v>119</v>
      </c>
      <c r="G312" t="s">
        <v>41</v>
      </c>
      <c r="H312" t="s">
        <v>244</v>
      </c>
      <c r="I312">
        <v>9</v>
      </c>
      <c r="J312" s="1">
        <v>816.41</v>
      </c>
      <c r="K312">
        <v>0.35</v>
      </c>
      <c r="L312" s="1">
        <v>5054.28</v>
      </c>
      <c r="M312" s="1">
        <v>2136.9</v>
      </c>
      <c r="N312" s="1">
        <v>42.16</v>
      </c>
      <c r="O312" t="s">
        <v>57</v>
      </c>
      <c r="P312">
        <v>2</v>
      </c>
      <c r="Q312" t="b">
        <v>0</v>
      </c>
      <c r="R312" t="s">
        <v>18</v>
      </c>
      <c r="S312">
        <v>5</v>
      </c>
      <c r="T312" t="e">
        <f>IF(#REF!&lt;=25, "Young Age", IF(#REF!&lt;=40, "Mid Age", "Old Age"))</f>
        <v>#REF!</v>
      </c>
      <c r="U312" t="str">
        <f t="shared" si="4"/>
        <v>Delayed</v>
      </c>
    </row>
    <row r="313" spans="1:21" x14ac:dyDescent="0.35">
      <c r="A313" t="s">
        <v>777</v>
      </c>
      <c r="B313" s="13">
        <v>44843</v>
      </c>
      <c r="C313" t="s">
        <v>778</v>
      </c>
      <c r="D313" t="s">
        <v>47</v>
      </c>
      <c r="E313" t="s">
        <v>14</v>
      </c>
      <c r="F313" t="s">
        <v>28</v>
      </c>
      <c r="G313" t="s">
        <v>6</v>
      </c>
      <c r="H313" t="s">
        <v>387</v>
      </c>
      <c r="I313">
        <v>10</v>
      </c>
      <c r="J313" s="1">
        <v>364.93</v>
      </c>
      <c r="K313">
        <v>7.0000000000000007E-2</v>
      </c>
      <c r="L313" s="1">
        <v>3274.29</v>
      </c>
      <c r="M313" s="1">
        <v>294.88</v>
      </c>
      <c r="N313" s="1">
        <v>52.13</v>
      </c>
      <c r="O313" t="s">
        <v>57</v>
      </c>
      <c r="P313" t="s">
        <v>2149</v>
      </c>
      <c r="Q313" t="b">
        <v>0</v>
      </c>
      <c r="R313" t="s">
        <v>37</v>
      </c>
      <c r="S313">
        <v>3</v>
      </c>
      <c r="T313" t="e">
        <f>IF(#REF!&lt;=25, "Young Age", IF(#REF!&lt;=40, "Mid Age", "Old Age"))</f>
        <v>#REF!</v>
      </c>
      <c r="U313" t="str">
        <f t="shared" si="4"/>
        <v>Okay</v>
      </c>
    </row>
    <row r="314" spans="1:21" x14ac:dyDescent="0.35">
      <c r="A314" t="s">
        <v>779</v>
      </c>
      <c r="B314" s="13">
        <v>45032</v>
      </c>
      <c r="C314" t="s">
        <v>780</v>
      </c>
      <c r="D314" t="s">
        <v>13</v>
      </c>
      <c r="E314" t="s">
        <v>61</v>
      </c>
      <c r="F314" t="s">
        <v>62</v>
      </c>
      <c r="G314" t="s">
        <v>124</v>
      </c>
      <c r="H314" t="s">
        <v>125</v>
      </c>
      <c r="I314">
        <v>7</v>
      </c>
      <c r="J314" s="1">
        <v>12799.72</v>
      </c>
      <c r="K314">
        <v>0.11</v>
      </c>
      <c r="L314" s="1">
        <v>114501.45</v>
      </c>
      <c r="M314" s="1">
        <v>25731.03</v>
      </c>
      <c r="N314" s="1">
        <v>74.55</v>
      </c>
      <c r="O314" t="s">
        <v>36</v>
      </c>
      <c r="P314">
        <v>2</v>
      </c>
      <c r="Q314" t="b">
        <v>0</v>
      </c>
      <c r="R314" t="s">
        <v>18</v>
      </c>
      <c r="S314">
        <v>2</v>
      </c>
      <c r="T314" t="e">
        <f>IF(#REF!&lt;=25, "Young Age", IF(#REF!&lt;=40, "Mid Age", "Old Age"))</f>
        <v>#REF!</v>
      </c>
      <c r="U314" t="str">
        <f t="shared" si="4"/>
        <v>Okay</v>
      </c>
    </row>
    <row r="315" spans="1:21" x14ac:dyDescent="0.35">
      <c r="A315" t="s">
        <v>781</v>
      </c>
      <c r="B315" s="13">
        <v>45137</v>
      </c>
      <c r="C315" t="s">
        <v>782</v>
      </c>
      <c r="D315" t="s">
        <v>3</v>
      </c>
      <c r="E315" t="s">
        <v>53</v>
      </c>
      <c r="F315" t="s">
        <v>170</v>
      </c>
      <c r="G315" t="s">
        <v>6</v>
      </c>
      <c r="H315" t="s">
        <v>75</v>
      </c>
      <c r="J315" s="1">
        <v>380.49</v>
      </c>
      <c r="K315">
        <v>0.36</v>
      </c>
      <c r="L315" s="1">
        <v>368.28</v>
      </c>
      <c r="M315" s="1">
        <v>36.06</v>
      </c>
      <c r="N315" s="1">
        <v>27.57</v>
      </c>
      <c r="O315" t="s">
        <v>30</v>
      </c>
      <c r="P315">
        <v>5</v>
      </c>
      <c r="Q315" t="b">
        <v>0</v>
      </c>
      <c r="R315" t="s">
        <v>175</v>
      </c>
      <c r="S315">
        <v>1</v>
      </c>
      <c r="T315" t="e">
        <f>IF(#REF!&lt;=25, "Young Age", IF(#REF!&lt;=40, "Mid Age", "Old Age"))</f>
        <v>#REF!</v>
      </c>
      <c r="U315" t="str">
        <f t="shared" si="4"/>
        <v>Okay</v>
      </c>
    </row>
    <row r="316" spans="1:21" x14ac:dyDescent="0.35">
      <c r="A316" t="s">
        <v>783</v>
      </c>
      <c r="B316" s="13">
        <v>44593</v>
      </c>
      <c r="C316" t="s">
        <v>784</v>
      </c>
      <c r="D316" t="s">
        <v>13</v>
      </c>
      <c r="E316" t="s">
        <v>4</v>
      </c>
      <c r="F316" t="s">
        <v>148</v>
      </c>
      <c r="G316" t="s">
        <v>16</v>
      </c>
      <c r="H316" t="s">
        <v>209</v>
      </c>
      <c r="J316" s="1">
        <v>1868.65</v>
      </c>
      <c r="K316">
        <v>0.06</v>
      </c>
      <c r="L316" s="1">
        <v>1684.76</v>
      </c>
      <c r="M316" s="1">
        <v>667.36</v>
      </c>
      <c r="N316" s="1">
        <v>71.239999999999995</v>
      </c>
      <c r="O316" t="s">
        <v>57</v>
      </c>
      <c r="P316">
        <v>4</v>
      </c>
      <c r="Q316" t="b">
        <v>0</v>
      </c>
      <c r="R316" t="s">
        <v>18</v>
      </c>
      <c r="S316">
        <v>2</v>
      </c>
      <c r="T316" t="e">
        <f>IF(#REF!&lt;=25, "Young Age", IF(#REF!&lt;=40, "Mid Age", "Old Age"))</f>
        <v>#REF!</v>
      </c>
      <c r="U316" t="str">
        <f t="shared" si="4"/>
        <v>Okay</v>
      </c>
    </row>
    <row r="317" spans="1:21" x14ac:dyDescent="0.35">
      <c r="A317" t="s">
        <v>785</v>
      </c>
      <c r="B317" s="13">
        <v>43977</v>
      </c>
      <c r="C317" t="s">
        <v>786</v>
      </c>
      <c r="D317" t="s">
        <v>47</v>
      </c>
      <c r="E317" t="s">
        <v>14</v>
      </c>
      <c r="F317" t="s">
        <v>28</v>
      </c>
      <c r="G317" t="s">
        <v>41</v>
      </c>
      <c r="H317" t="s">
        <v>85</v>
      </c>
      <c r="I317">
        <v>2</v>
      </c>
      <c r="J317" s="1">
        <v>425.83</v>
      </c>
      <c r="K317">
        <v>0.04</v>
      </c>
      <c r="L317" s="1">
        <v>846.36</v>
      </c>
      <c r="M317" s="1">
        <v>364.43</v>
      </c>
      <c r="N317" s="1">
        <v>42.68</v>
      </c>
      <c r="O317" t="s">
        <v>57</v>
      </c>
      <c r="P317">
        <v>4</v>
      </c>
      <c r="Q317" t="b">
        <v>0</v>
      </c>
      <c r="R317" t="s">
        <v>18</v>
      </c>
      <c r="S317">
        <v>10</v>
      </c>
      <c r="T317" t="e">
        <f>IF(#REF!&lt;=25, "Young Age", IF(#REF!&lt;=40, "Mid Age", "Old Age"))</f>
        <v>#REF!</v>
      </c>
      <c r="U317" t="str">
        <f t="shared" si="4"/>
        <v>Over Delayed</v>
      </c>
    </row>
    <row r="318" spans="1:21" x14ac:dyDescent="0.35">
      <c r="A318" t="s">
        <v>787</v>
      </c>
      <c r="B318" s="13">
        <v>45218</v>
      </c>
      <c r="C318" t="s">
        <v>788</v>
      </c>
      <c r="D318" t="s">
        <v>47</v>
      </c>
      <c r="E318" t="s">
        <v>89</v>
      </c>
      <c r="F318" t="s">
        <v>99</v>
      </c>
      <c r="G318" t="s">
        <v>23</v>
      </c>
      <c r="H318" t="s">
        <v>29</v>
      </c>
      <c r="I318">
        <v>5</v>
      </c>
      <c r="J318" s="1">
        <v>2374.77</v>
      </c>
      <c r="K318">
        <v>0.28000000000000003</v>
      </c>
      <c r="L318" s="1">
        <v>9688.23</v>
      </c>
      <c r="M318" s="1">
        <v>2614.25</v>
      </c>
      <c r="N318" s="1">
        <v>83.81</v>
      </c>
      <c r="O318" t="s">
        <v>57</v>
      </c>
      <c r="P318">
        <v>1</v>
      </c>
      <c r="Q318" t="b">
        <v>0</v>
      </c>
      <c r="R318" t="s">
        <v>18</v>
      </c>
      <c r="S318">
        <v>6</v>
      </c>
      <c r="T318" t="e">
        <f>IF(#REF!&lt;=25, "Young Age", IF(#REF!&lt;=40, "Mid Age", "Old Age"))</f>
        <v>#REF!</v>
      </c>
      <c r="U318" t="str">
        <f t="shared" si="4"/>
        <v>Delayed</v>
      </c>
    </row>
    <row r="319" spans="1:21" x14ac:dyDescent="0.35">
      <c r="A319" t="s">
        <v>789</v>
      </c>
      <c r="B319" s="13">
        <v>43983</v>
      </c>
      <c r="C319" t="s">
        <v>790</v>
      </c>
      <c r="D319" t="s">
        <v>3</v>
      </c>
      <c r="E319" t="s">
        <v>53</v>
      </c>
      <c r="F319" t="s">
        <v>170</v>
      </c>
      <c r="G319" t="s">
        <v>6</v>
      </c>
      <c r="H319" t="s">
        <v>353</v>
      </c>
      <c r="I319">
        <v>8</v>
      </c>
      <c r="J319" s="1">
        <v>294.27</v>
      </c>
      <c r="K319">
        <v>0.35</v>
      </c>
      <c r="L319" s="1">
        <v>1927.79</v>
      </c>
      <c r="M319" s="1">
        <v>96.62</v>
      </c>
      <c r="N319" s="1">
        <v>53.97</v>
      </c>
      <c r="O319" t="s">
        <v>43</v>
      </c>
      <c r="P319">
        <v>1</v>
      </c>
      <c r="Q319" t="b">
        <v>0</v>
      </c>
      <c r="R319" t="s">
        <v>18</v>
      </c>
      <c r="S319">
        <v>5</v>
      </c>
      <c r="T319" t="e">
        <f>IF(#REF!&lt;=25, "Young Age", IF(#REF!&lt;=40, "Mid Age", "Old Age"))</f>
        <v>#REF!</v>
      </c>
      <c r="U319" t="str">
        <f t="shared" si="4"/>
        <v>Delayed</v>
      </c>
    </row>
    <row r="320" spans="1:21" x14ac:dyDescent="0.35">
      <c r="A320" t="s">
        <v>791</v>
      </c>
      <c r="B320" s="13">
        <v>44214</v>
      </c>
      <c r="C320" t="s">
        <v>792</v>
      </c>
      <c r="D320" t="s">
        <v>3</v>
      </c>
      <c r="E320" t="s">
        <v>61</v>
      </c>
      <c r="F320" t="s">
        <v>62</v>
      </c>
      <c r="G320" t="s">
        <v>105</v>
      </c>
      <c r="H320" t="s">
        <v>120</v>
      </c>
      <c r="I320">
        <v>5</v>
      </c>
      <c r="J320" s="1">
        <v>58480.23</v>
      </c>
      <c r="K320">
        <v>0.09</v>
      </c>
      <c r="L320" s="1">
        <v>200569.38</v>
      </c>
      <c r="M320" s="1">
        <v>24313.05</v>
      </c>
      <c r="N320" s="1">
        <v>84.38</v>
      </c>
      <c r="O320" t="s">
        <v>49</v>
      </c>
      <c r="P320">
        <v>4</v>
      </c>
      <c r="Q320" t="b">
        <v>0</v>
      </c>
      <c r="R320" t="s">
        <v>18</v>
      </c>
      <c r="S320">
        <v>2</v>
      </c>
      <c r="T320" t="e">
        <f>IF(#REF!&lt;=25, "Young Age", IF(#REF!&lt;=40, "Mid Age", "Old Age"))</f>
        <v>#REF!</v>
      </c>
      <c r="U320" t="str">
        <f t="shared" si="4"/>
        <v>Okay</v>
      </c>
    </row>
    <row r="321" spans="1:21" x14ac:dyDescent="0.35">
      <c r="A321" t="s">
        <v>793</v>
      </c>
      <c r="B321" s="13">
        <v>44963</v>
      </c>
      <c r="C321" t="s">
        <v>794</v>
      </c>
      <c r="D321" t="s">
        <v>3</v>
      </c>
      <c r="E321" t="s">
        <v>89</v>
      </c>
      <c r="F321" t="s">
        <v>99</v>
      </c>
      <c r="G321" t="s">
        <v>124</v>
      </c>
      <c r="H321" t="s">
        <v>413</v>
      </c>
      <c r="I321">
        <v>8</v>
      </c>
      <c r="J321" s="1">
        <v>5590.43</v>
      </c>
      <c r="K321">
        <v>0.19</v>
      </c>
      <c r="L321" s="1">
        <v>37398.22</v>
      </c>
      <c r="M321" s="1">
        <v>4824.74</v>
      </c>
      <c r="N321" s="1">
        <v>69.42</v>
      </c>
      <c r="O321" t="s">
        <v>49</v>
      </c>
      <c r="P321">
        <v>4</v>
      </c>
      <c r="Q321" t="b">
        <v>0</v>
      </c>
      <c r="R321" t="s">
        <v>18</v>
      </c>
      <c r="S321">
        <v>2</v>
      </c>
      <c r="T321" t="e">
        <f>IF(#REF!&lt;=25, "Young Age", IF(#REF!&lt;=40, "Mid Age", "Old Age"))</f>
        <v>#REF!</v>
      </c>
      <c r="U321" t="str">
        <f t="shared" si="4"/>
        <v>Okay</v>
      </c>
    </row>
    <row r="322" spans="1:21" x14ac:dyDescent="0.35">
      <c r="A322" t="s">
        <v>795</v>
      </c>
      <c r="B322" s="13">
        <v>44164</v>
      </c>
      <c r="C322" t="s">
        <v>796</v>
      </c>
      <c r="D322" t="s">
        <v>47</v>
      </c>
      <c r="E322" t="s">
        <v>14</v>
      </c>
      <c r="F322" t="s">
        <v>15</v>
      </c>
      <c r="G322" t="s">
        <v>105</v>
      </c>
      <c r="H322" t="s">
        <v>282</v>
      </c>
      <c r="I322">
        <v>4</v>
      </c>
      <c r="J322" s="1">
        <v>7981.68</v>
      </c>
      <c r="K322">
        <v>0.38</v>
      </c>
      <c r="L322" s="1">
        <v>12800.24</v>
      </c>
      <c r="M322" s="1">
        <v>1753.15</v>
      </c>
      <c r="N322" s="1">
        <v>40.049999999999997</v>
      </c>
      <c r="O322" t="s">
        <v>8</v>
      </c>
      <c r="P322">
        <v>4</v>
      </c>
      <c r="Q322" t="b">
        <v>0</v>
      </c>
      <c r="R322" t="s">
        <v>18</v>
      </c>
      <c r="S322">
        <v>5</v>
      </c>
      <c r="T322" t="e">
        <f>IF(#REF!&lt;=25, "Young Age", IF(#REF!&lt;=40, "Mid Age", "Old Age"))</f>
        <v>#REF!</v>
      </c>
      <c r="U322" t="str">
        <f t="shared" ref="U322:U385" si="5">IF(S322 &lt;=4, "Okay", IF(S322 &lt;=7, "Delayed", "Over Delayed"))</f>
        <v>Delayed</v>
      </c>
    </row>
    <row r="323" spans="1:21" x14ac:dyDescent="0.35">
      <c r="A323" t="s">
        <v>797</v>
      </c>
      <c r="B323" s="13">
        <v>44929</v>
      </c>
      <c r="C323" t="s">
        <v>798</v>
      </c>
      <c r="D323" t="s">
        <v>13</v>
      </c>
      <c r="E323" t="s">
        <v>14</v>
      </c>
      <c r="F323" t="s">
        <v>84</v>
      </c>
      <c r="G323" t="s">
        <v>23</v>
      </c>
      <c r="H323" t="s">
        <v>29</v>
      </c>
      <c r="I323">
        <v>2</v>
      </c>
      <c r="J323" s="1">
        <v>9783.06</v>
      </c>
      <c r="K323">
        <v>0.12</v>
      </c>
      <c r="L323" s="1">
        <v>15984.43</v>
      </c>
      <c r="M323" s="1">
        <v>3578.22</v>
      </c>
      <c r="N323" s="1">
        <v>43.71</v>
      </c>
      <c r="O323" t="s">
        <v>43</v>
      </c>
      <c r="P323">
        <v>2</v>
      </c>
      <c r="Q323" t="b">
        <v>1</v>
      </c>
      <c r="R323" t="s">
        <v>9</v>
      </c>
      <c r="S323">
        <v>5</v>
      </c>
      <c r="T323" t="e">
        <f>IF(#REF!&lt;=25, "Young Age", IF(#REF!&lt;=40, "Mid Age", "Old Age"))</f>
        <v>#REF!</v>
      </c>
      <c r="U323" t="str">
        <f t="shared" si="5"/>
        <v>Delayed</v>
      </c>
    </row>
    <row r="324" spans="1:21" x14ac:dyDescent="0.35">
      <c r="A324" t="s">
        <v>799</v>
      </c>
      <c r="B324" s="13">
        <v>45137</v>
      </c>
      <c r="C324" t="s">
        <v>800</v>
      </c>
      <c r="D324" t="s">
        <v>3</v>
      </c>
      <c r="E324" t="s">
        <v>89</v>
      </c>
      <c r="F324" t="s">
        <v>299</v>
      </c>
      <c r="G324" t="s">
        <v>105</v>
      </c>
      <c r="H324" t="s">
        <v>174</v>
      </c>
      <c r="I324">
        <v>4</v>
      </c>
      <c r="J324" s="1">
        <v>66643.149999999994</v>
      </c>
      <c r="K324">
        <v>0.14000000000000001</v>
      </c>
      <c r="L324" s="1">
        <v>325899.40000000002</v>
      </c>
      <c r="M324" s="1">
        <v>40690.870000000003</v>
      </c>
      <c r="N324" s="1">
        <v>51.43</v>
      </c>
      <c r="O324" t="s">
        <v>43</v>
      </c>
      <c r="P324">
        <v>1</v>
      </c>
      <c r="Q324" t="b">
        <v>0</v>
      </c>
      <c r="R324" t="s">
        <v>18</v>
      </c>
      <c r="S324">
        <v>3</v>
      </c>
      <c r="T324" t="e">
        <f>IF(#REF!&lt;=25, "Young Age", IF(#REF!&lt;=40, "Mid Age", "Old Age"))</f>
        <v>#REF!</v>
      </c>
      <c r="U324" t="str">
        <f t="shared" si="5"/>
        <v>Okay</v>
      </c>
    </row>
    <row r="325" spans="1:21" x14ac:dyDescent="0.35">
      <c r="A325" t="s">
        <v>801</v>
      </c>
      <c r="B325" s="13">
        <v>44646</v>
      </c>
      <c r="C325" t="s">
        <v>802</v>
      </c>
      <c r="D325" t="s">
        <v>47</v>
      </c>
      <c r="E325" t="s">
        <v>14</v>
      </c>
      <c r="F325" t="s">
        <v>22</v>
      </c>
      <c r="G325" t="s">
        <v>16</v>
      </c>
      <c r="H325" t="s">
        <v>557</v>
      </c>
      <c r="I325">
        <v>10</v>
      </c>
      <c r="J325" s="1">
        <v>160.57</v>
      </c>
      <c r="K325">
        <v>0.38</v>
      </c>
      <c r="L325" s="1">
        <v>1214.0999999999999</v>
      </c>
      <c r="M325" s="1">
        <v>697.82</v>
      </c>
      <c r="N325" s="1">
        <v>51.31</v>
      </c>
      <c r="O325" t="s">
        <v>49</v>
      </c>
      <c r="P325">
        <v>3</v>
      </c>
      <c r="Q325" t="b">
        <v>0</v>
      </c>
      <c r="R325" t="s">
        <v>18</v>
      </c>
      <c r="S325">
        <v>2</v>
      </c>
      <c r="T325" t="e">
        <f>IF(#REF!&lt;=25, "Young Age", IF(#REF!&lt;=40, "Mid Age", "Old Age"))</f>
        <v>#REF!</v>
      </c>
      <c r="U325" t="str">
        <f t="shared" si="5"/>
        <v>Okay</v>
      </c>
    </row>
    <row r="326" spans="1:21" x14ac:dyDescent="0.35">
      <c r="A326" t="s">
        <v>803</v>
      </c>
      <c r="B326" s="13" t="s">
        <v>804</v>
      </c>
      <c r="C326" t="s">
        <v>805</v>
      </c>
      <c r="D326" t="s">
        <v>13</v>
      </c>
      <c r="E326" t="s">
        <v>4</v>
      </c>
      <c r="F326" t="s">
        <v>48</v>
      </c>
      <c r="G326" t="s">
        <v>124</v>
      </c>
      <c r="H326" t="s">
        <v>156</v>
      </c>
      <c r="I326">
        <v>7</v>
      </c>
      <c r="J326" s="1">
        <v>12138.63</v>
      </c>
      <c r="K326">
        <v>0.13</v>
      </c>
      <c r="L326" s="1">
        <v>95488.18</v>
      </c>
      <c r="M326" s="1">
        <v>21101.52</v>
      </c>
      <c r="N326" s="1">
        <v>32.89</v>
      </c>
      <c r="O326" t="s">
        <v>57</v>
      </c>
      <c r="P326">
        <v>5</v>
      </c>
      <c r="Q326" t="b">
        <v>0</v>
      </c>
      <c r="R326" t="s">
        <v>115</v>
      </c>
      <c r="S326">
        <v>4</v>
      </c>
      <c r="T326" t="e">
        <f>IF(#REF!&lt;=25, "Young Age", IF(#REF!&lt;=40, "Mid Age", "Old Age"))</f>
        <v>#REF!</v>
      </c>
      <c r="U326" t="str">
        <f t="shared" si="5"/>
        <v>Okay</v>
      </c>
    </row>
    <row r="327" spans="1:21" x14ac:dyDescent="0.35">
      <c r="A327" t="s">
        <v>806</v>
      </c>
      <c r="B327" s="13">
        <v>45647</v>
      </c>
      <c r="C327" t="s">
        <v>807</v>
      </c>
      <c r="D327" t="s">
        <v>3</v>
      </c>
      <c r="E327" t="s">
        <v>14</v>
      </c>
      <c r="F327" t="s">
        <v>22</v>
      </c>
      <c r="G327" t="s">
        <v>105</v>
      </c>
      <c r="H327" t="s">
        <v>120</v>
      </c>
      <c r="I327">
        <v>6</v>
      </c>
      <c r="J327" s="1">
        <v>61234.43</v>
      </c>
      <c r="K327">
        <v>0.24</v>
      </c>
      <c r="L327" s="1">
        <v>268632.52</v>
      </c>
      <c r="M327" s="1">
        <v>31422.9</v>
      </c>
      <c r="N327" s="1">
        <v>48.82</v>
      </c>
      <c r="O327" t="s">
        <v>49</v>
      </c>
      <c r="P327" t="s">
        <v>2149</v>
      </c>
      <c r="Q327" t="b">
        <v>0</v>
      </c>
      <c r="R327" t="s">
        <v>18</v>
      </c>
      <c r="S327">
        <v>4</v>
      </c>
      <c r="T327" t="e">
        <f>IF(#REF!&lt;=25, "Young Age", IF(#REF!&lt;=40, "Mid Age", "Old Age"))</f>
        <v>#REF!</v>
      </c>
      <c r="U327" t="str">
        <f t="shared" si="5"/>
        <v>Okay</v>
      </c>
    </row>
    <row r="328" spans="1:21" x14ac:dyDescent="0.35">
      <c r="A328" t="s">
        <v>808</v>
      </c>
      <c r="B328" s="13">
        <v>45402</v>
      </c>
      <c r="C328" t="s">
        <v>809</v>
      </c>
      <c r="D328" t="s">
        <v>13</v>
      </c>
      <c r="E328" t="s">
        <v>53</v>
      </c>
      <c r="F328" t="s">
        <v>54</v>
      </c>
      <c r="G328" t="s">
        <v>41</v>
      </c>
      <c r="H328" t="s">
        <v>129</v>
      </c>
      <c r="I328">
        <v>5</v>
      </c>
      <c r="J328" s="1">
        <v>224.92</v>
      </c>
      <c r="K328">
        <v>0.24</v>
      </c>
      <c r="L328" s="1">
        <v>1230.6600000000001</v>
      </c>
      <c r="M328" s="1">
        <v>529.41999999999996</v>
      </c>
      <c r="N328" s="1">
        <v>65.16</v>
      </c>
      <c r="O328" t="s">
        <v>57</v>
      </c>
      <c r="P328">
        <v>5</v>
      </c>
      <c r="Q328" t="b">
        <v>0</v>
      </c>
      <c r="R328" t="s">
        <v>18</v>
      </c>
      <c r="S328">
        <v>2</v>
      </c>
      <c r="T328" t="e">
        <f>IF(#REF!&lt;=25, "Young Age", IF(#REF!&lt;=40, "Mid Age", "Old Age"))</f>
        <v>#REF!</v>
      </c>
      <c r="U328" t="str">
        <f t="shared" si="5"/>
        <v>Okay</v>
      </c>
    </row>
    <row r="329" spans="1:21" x14ac:dyDescent="0.35">
      <c r="A329" t="s">
        <v>810</v>
      </c>
      <c r="B329" s="13">
        <v>44079</v>
      </c>
      <c r="C329" t="s">
        <v>811</v>
      </c>
      <c r="D329" t="s">
        <v>3</v>
      </c>
      <c r="E329" t="s">
        <v>14</v>
      </c>
      <c r="F329" t="s">
        <v>15</v>
      </c>
      <c r="G329" t="s">
        <v>55</v>
      </c>
      <c r="H329" t="s">
        <v>185</v>
      </c>
      <c r="I329">
        <v>8</v>
      </c>
      <c r="J329" s="1">
        <v>2151.16</v>
      </c>
      <c r="K329">
        <v>0.12</v>
      </c>
      <c r="L329" s="1">
        <v>15432.22</v>
      </c>
      <c r="M329" s="1">
        <v>4651.88</v>
      </c>
      <c r="N329" s="1">
        <v>67.349999999999994</v>
      </c>
      <c r="O329" t="s">
        <v>43</v>
      </c>
      <c r="P329">
        <v>4</v>
      </c>
      <c r="Q329" t="b">
        <v>1</v>
      </c>
      <c r="R329" t="s">
        <v>9</v>
      </c>
      <c r="S329">
        <v>4</v>
      </c>
      <c r="T329" t="e">
        <f>IF(#REF!&lt;=25, "Young Age", IF(#REF!&lt;=40, "Mid Age", "Old Age"))</f>
        <v>#REF!</v>
      </c>
      <c r="U329" t="str">
        <f t="shared" si="5"/>
        <v>Okay</v>
      </c>
    </row>
    <row r="330" spans="1:21" x14ac:dyDescent="0.35">
      <c r="A330" t="s">
        <v>812</v>
      </c>
      <c r="B330" s="13">
        <v>44617</v>
      </c>
      <c r="C330" t="s">
        <v>813</v>
      </c>
      <c r="D330" t="s">
        <v>3</v>
      </c>
      <c r="E330" t="s">
        <v>4</v>
      </c>
      <c r="F330" t="s">
        <v>148</v>
      </c>
      <c r="G330" t="s">
        <v>124</v>
      </c>
      <c r="H330" t="s">
        <v>195</v>
      </c>
      <c r="I330">
        <v>1</v>
      </c>
      <c r="J330" s="1">
        <v>7835.77</v>
      </c>
      <c r="K330">
        <v>0.08</v>
      </c>
      <c r="L330" s="1">
        <v>6868.24</v>
      </c>
      <c r="M330" s="1">
        <v>1599.65</v>
      </c>
      <c r="N330" s="1">
        <v>44.2</v>
      </c>
      <c r="O330" t="s">
        <v>49</v>
      </c>
      <c r="P330" t="s">
        <v>2149</v>
      </c>
      <c r="Q330" t="b">
        <v>1</v>
      </c>
      <c r="R330" t="s">
        <v>9</v>
      </c>
      <c r="S330">
        <v>-1</v>
      </c>
      <c r="T330" t="e">
        <f>IF(#REF!&lt;=25, "Young Age", IF(#REF!&lt;=40, "Mid Age", "Old Age"))</f>
        <v>#REF!</v>
      </c>
      <c r="U330" t="str">
        <f t="shared" si="5"/>
        <v>Okay</v>
      </c>
    </row>
    <row r="331" spans="1:21" x14ac:dyDescent="0.35">
      <c r="A331" t="s">
        <v>814</v>
      </c>
      <c r="B331" s="13">
        <v>45077</v>
      </c>
      <c r="C331" t="s">
        <v>815</v>
      </c>
      <c r="D331" t="s">
        <v>3</v>
      </c>
      <c r="E331" t="s">
        <v>14</v>
      </c>
      <c r="F331" t="s">
        <v>22</v>
      </c>
      <c r="G331" t="s">
        <v>41</v>
      </c>
      <c r="H331" t="s">
        <v>244</v>
      </c>
      <c r="I331">
        <v>2</v>
      </c>
      <c r="J331" s="1">
        <v>790.19</v>
      </c>
      <c r="K331">
        <v>0.12</v>
      </c>
      <c r="L331" s="1">
        <v>2524.52</v>
      </c>
      <c r="M331" s="1">
        <v>1241.47</v>
      </c>
      <c r="N331" s="1">
        <v>75.5</v>
      </c>
      <c r="O331" t="s">
        <v>57</v>
      </c>
      <c r="P331">
        <v>2</v>
      </c>
      <c r="Q331" t="b">
        <v>0</v>
      </c>
      <c r="R331" t="s">
        <v>18</v>
      </c>
      <c r="S331">
        <v>1</v>
      </c>
      <c r="T331" t="e">
        <f>IF(#REF!&lt;=25, "Young Age", IF(#REF!&lt;=40, "Mid Age", "Old Age"))</f>
        <v>#REF!</v>
      </c>
      <c r="U331" t="str">
        <f t="shared" si="5"/>
        <v>Okay</v>
      </c>
    </row>
    <row r="332" spans="1:21" x14ac:dyDescent="0.35">
      <c r="A332" t="s">
        <v>816</v>
      </c>
      <c r="B332" s="13">
        <v>43881</v>
      </c>
      <c r="C332" t="s">
        <v>817</v>
      </c>
      <c r="D332" t="s">
        <v>3</v>
      </c>
      <c r="E332" t="s">
        <v>61</v>
      </c>
      <c r="F332" t="s">
        <v>104</v>
      </c>
      <c r="G332" t="s">
        <v>41</v>
      </c>
      <c r="H332" t="s">
        <v>261</v>
      </c>
      <c r="I332">
        <v>10</v>
      </c>
      <c r="J332" s="1">
        <v>327.54000000000002</v>
      </c>
      <c r="K332">
        <v>0.15</v>
      </c>
      <c r="L332" s="1">
        <v>2755.17</v>
      </c>
      <c r="M332" s="1">
        <v>1528.85</v>
      </c>
      <c r="N332" s="1">
        <v>80.58</v>
      </c>
      <c r="O332" t="s">
        <v>8</v>
      </c>
      <c r="P332">
        <v>5</v>
      </c>
      <c r="Q332" t="b">
        <v>1</v>
      </c>
      <c r="R332" t="s">
        <v>9</v>
      </c>
      <c r="S332">
        <v>2</v>
      </c>
      <c r="T332" t="e">
        <f>IF(#REF!&lt;=25, "Young Age", IF(#REF!&lt;=40, "Mid Age", "Old Age"))</f>
        <v>#REF!</v>
      </c>
      <c r="U332" t="str">
        <f t="shared" si="5"/>
        <v>Okay</v>
      </c>
    </row>
    <row r="333" spans="1:21" x14ac:dyDescent="0.35">
      <c r="A333" t="s">
        <v>818</v>
      </c>
      <c r="B333" s="13">
        <v>44787</v>
      </c>
      <c r="C333" t="s">
        <v>819</v>
      </c>
      <c r="D333" t="s">
        <v>3</v>
      </c>
      <c r="E333" t="s">
        <v>89</v>
      </c>
      <c r="F333" t="s">
        <v>119</v>
      </c>
      <c r="G333" t="s">
        <v>105</v>
      </c>
      <c r="H333" t="s">
        <v>149</v>
      </c>
      <c r="I333">
        <v>10</v>
      </c>
      <c r="J333" s="1">
        <v>46080.58</v>
      </c>
      <c r="K333">
        <v>0.33</v>
      </c>
      <c r="L333" s="1">
        <v>392607.23</v>
      </c>
      <c r="M333" s="1">
        <v>38045.24</v>
      </c>
      <c r="N333" s="1">
        <v>42.13</v>
      </c>
      <c r="O333" t="s">
        <v>49</v>
      </c>
      <c r="P333">
        <v>1</v>
      </c>
      <c r="Q333" t="b">
        <v>0</v>
      </c>
      <c r="R333" t="s">
        <v>18</v>
      </c>
      <c r="S333">
        <v>7</v>
      </c>
      <c r="T333" t="e">
        <f>IF(#REF!&lt;=25, "Young Age", IF(#REF!&lt;=40, "Mid Age", "Old Age"))</f>
        <v>#REF!</v>
      </c>
      <c r="U333" t="str">
        <f t="shared" si="5"/>
        <v>Delayed</v>
      </c>
    </row>
    <row r="334" spans="1:21" x14ac:dyDescent="0.35">
      <c r="A334" t="s">
        <v>820</v>
      </c>
      <c r="B334" s="13">
        <v>45049</v>
      </c>
      <c r="C334" t="s">
        <v>821</v>
      </c>
      <c r="D334" t="s">
        <v>47</v>
      </c>
      <c r="E334" t="s">
        <v>61</v>
      </c>
      <c r="F334" t="s">
        <v>222</v>
      </c>
      <c r="G334" t="s">
        <v>55</v>
      </c>
      <c r="H334" t="s">
        <v>67</v>
      </c>
      <c r="I334">
        <v>10</v>
      </c>
      <c r="J334" s="1">
        <v>630.78</v>
      </c>
      <c r="K334">
        <v>0</v>
      </c>
      <c r="L334" s="1">
        <v>10612</v>
      </c>
      <c r="M334" s="1">
        <v>3459.74</v>
      </c>
      <c r="N334" s="1">
        <v>83.61</v>
      </c>
      <c r="O334" t="s">
        <v>49</v>
      </c>
      <c r="P334">
        <v>4</v>
      </c>
      <c r="Q334" t="b">
        <v>0</v>
      </c>
      <c r="R334" t="s">
        <v>18</v>
      </c>
      <c r="S334">
        <v>8</v>
      </c>
      <c r="T334" t="e">
        <f>IF(#REF!&lt;=25, "Young Age", IF(#REF!&lt;=40, "Mid Age", "Old Age"))</f>
        <v>#REF!</v>
      </c>
      <c r="U334" t="str">
        <f t="shared" si="5"/>
        <v>Over Delayed</v>
      </c>
    </row>
    <row r="335" spans="1:21" x14ac:dyDescent="0.35">
      <c r="A335" t="s">
        <v>822</v>
      </c>
      <c r="B335" s="13">
        <v>44372</v>
      </c>
      <c r="C335" t="s">
        <v>823</v>
      </c>
      <c r="D335" t="s">
        <v>13</v>
      </c>
      <c r="E335" t="s">
        <v>89</v>
      </c>
      <c r="F335" t="s">
        <v>90</v>
      </c>
      <c r="G335" t="s">
        <v>124</v>
      </c>
      <c r="H335" t="s">
        <v>156</v>
      </c>
      <c r="J335" s="1">
        <v>10501.07</v>
      </c>
      <c r="K335">
        <v>0.1</v>
      </c>
      <c r="L335" s="1">
        <v>15147.36</v>
      </c>
      <c r="M335" s="1">
        <v>3020.39</v>
      </c>
      <c r="N335" s="1">
        <v>56.4</v>
      </c>
      <c r="O335" t="s">
        <v>43</v>
      </c>
      <c r="P335">
        <v>5</v>
      </c>
      <c r="Q335" t="b">
        <v>0</v>
      </c>
      <c r="R335" t="s">
        <v>18</v>
      </c>
      <c r="S335">
        <v>7</v>
      </c>
      <c r="T335" t="e">
        <f>IF(#REF!&lt;=25, "Young Age", IF(#REF!&lt;=40, "Mid Age", "Old Age"))</f>
        <v>#REF!</v>
      </c>
      <c r="U335" t="str">
        <f t="shared" si="5"/>
        <v>Delayed</v>
      </c>
    </row>
    <row r="336" spans="1:21" x14ac:dyDescent="0.35">
      <c r="A336" t="s">
        <v>824</v>
      </c>
      <c r="B336" s="13">
        <v>45545</v>
      </c>
      <c r="C336" t="s">
        <v>825</v>
      </c>
      <c r="D336" t="s">
        <v>13</v>
      </c>
      <c r="E336" t="s">
        <v>14</v>
      </c>
      <c r="F336" t="s">
        <v>28</v>
      </c>
      <c r="G336" t="s">
        <v>105</v>
      </c>
      <c r="H336" t="s">
        <v>120</v>
      </c>
      <c r="I336">
        <v>1</v>
      </c>
      <c r="J336" s="1">
        <v>40304.61</v>
      </c>
      <c r="K336">
        <v>0.04</v>
      </c>
      <c r="L336" s="1">
        <v>54475.55</v>
      </c>
      <c r="M336" s="1">
        <v>5497.55</v>
      </c>
      <c r="N336" s="1">
        <v>73.05</v>
      </c>
      <c r="O336" t="s">
        <v>57</v>
      </c>
      <c r="P336">
        <v>2</v>
      </c>
      <c r="Q336" t="b">
        <v>0</v>
      </c>
      <c r="R336" t="s">
        <v>63</v>
      </c>
      <c r="S336">
        <v>5</v>
      </c>
      <c r="T336" t="e">
        <f>IF(#REF!&lt;=25, "Young Age", IF(#REF!&lt;=40, "Mid Age", "Old Age"))</f>
        <v>#REF!</v>
      </c>
      <c r="U336" t="str">
        <f t="shared" si="5"/>
        <v>Delayed</v>
      </c>
    </row>
    <row r="337" spans="1:21" x14ac:dyDescent="0.35">
      <c r="A337" t="s">
        <v>826</v>
      </c>
      <c r="B337" s="13">
        <v>45427</v>
      </c>
      <c r="C337" t="s">
        <v>827</v>
      </c>
      <c r="D337" t="s">
        <v>47</v>
      </c>
      <c r="E337" t="s">
        <v>61</v>
      </c>
      <c r="F337" t="s">
        <v>271</v>
      </c>
      <c r="G337" t="s">
        <v>23</v>
      </c>
      <c r="H337" t="s">
        <v>95</v>
      </c>
      <c r="I337">
        <v>3</v>
      </c>
      <c r="J337" s="1">
        <v>16806.93</v>
      </c>
      <c r="K337">
        <v>0.37</v>
      </c>
      <c r="L337" s="1">
        <v>52202.49</v>
      </c>
      <c r="M337" s="1">
        <v>17999.97</v>
      </c>
      <c r="N337" s="1">
        <v>90.53</v>
      </c>
      <c r="O337" t="s">
        <v>49</v>
      </c>
      <c r="P337">
        <v>4</v>
      </c>
      <c r="Q337" t="b">
        <v>0</v>
      </c>
      <c r="R337" t="s">
        <v>18</v>
      </c>
      <c r="S337">
        <v>2</v>
      </c>
      <c r="T337" t="e">
        <f>IF(#REF!&lt;=25, "Young Age", IF(#REF!&lt;=40, "Mid Age", "Old Age"))</f>
        <v>#REF!</v>
      </c>
      <c r="U337" t="str">
        <f t="shared" si="5"/>
        <v>Okay</v>
      </c>
    </row>
    <row r="338" spans="1:21" x14ac:dyDescent="0.35">
      <c r="A338" t="s">
        <v>828</v>
      </c>
      <c r="B338" s="13">
        <v>44278</v>
      </c>
      <c r="C338" t="s">
        <v>829</v>
      </c>
      <c r="D338" t="s">
        <v>3</v>
      </c>
      <c r="E338" t="s">
        <v>53</v>
      </c>
      <c r="F338" t="s">
        <v>79</v>
      </c>
      <c r="G338" t="s">
        <v>23</v>
      </c>
      <c r="H338" t="s">
        <v>199</v>
      </c>
      <c r="I338">
        <v>2</v>
      </c>
      <c r="J338" s="1">
        <v>4143.1000000000004</v>
      </c>
      <c r="K338">
        <v>0</v>
      </c>
      <c r="L338" s="1">
        <v>9554.34</v>
      </c>
      <c r="M338" s="1">
        <v>2463.9499999999998</v>
      </c>
      <c r="N338" s="1">
        <v>56.97</v>
      </c>
      <c r="O338" t="s">
        <v>36</v>
      </c>
      <c r="P338">
        <v>5</v>
      </c>
      <c r="Q338" t="b">
        <v>0</v>
      </c>
      <c r="R338" t="s">
        <v>18</v>
      </c>
      <c r="S338">
        <v>5</v>
      </c>
      <c r="T338" t="e">
        <f>IF(#REF!&lt;=25, "Young Age", IF(#REF!&lt;=40, "Mid Age", "Old Age"))</f>
        <v>#REF!</v>
      </c>
      <c r="U338" t="str">
        <f t="shared" si="5"/>
        <v>Delayed</v>
      </c>
    </row>
    <row r="339" spans="1:21" x14ac:dyDescent="0.35">
      <c r="A339" t="s">
        <v>830</v>
      </c>
      <c r="B339" s="13">
        <v>44045</v>
      </c>
      <c r="C339" t="s">
        <v>831</v>
      </c>
      <c r="D339" t="s">
        <v>3</v>
      </c>
      <c r="E339" t="s">
        <v>61</v>
      </c>
      <c r="F339" t="s">
        <v>271</v>
      </c>
      <c r="G339" t="s">
        <v>105</v>
      </c>
      <c r="H339" t="s">
        <v>149</v>
      </c>
      <c r="I339">
        <v>6</v>
      </c>
      <c r="J339" s="1">
        <v>76471.27</v>
      </c>
      <c r="K339">
        <v>0</v>
      </c>
      <c r="L339" s="1">
        <v>542833.31999999995</v>
      </c>
      <c r="M339" s="1">
        <v>79755.17</v>
      </c>
      <c r="N339" s="1">
        <v>71.89</v>
      </c>
      <c r="O339" t="s">
        <v>43</v>
      </c>
      <c r="P339">
        <v>5</v>
      </c>
      <c r="Q339" t="b">
        <v>0</v>
      </c>
      <c r="R339" t="s">
        <v>18</v>
      </c>
      <c r="S339">
        <v>5</v>
      </c>
      <c r="T339" t="e">
        <f>IF(#REF!&lt;=25, "Young Age", IF(#REF!&lt;=40, "Mid Age", "Old Age"))</f>
        <v>#REF!</v>
      </c>
      <c r="U339" t="str">
        <f t="shared" si="5"/>
        <v>Delayed</v>
      </c>
    </row>
    <row r="340" spans="1:21" x14ac:dyDescent="0.35">
      <c r="A340" t="s">
        <v>832</v>
      </c>
      <c r="B340" s="13">
        <v>45256</v>
      </c>
      <c r="C340" t="s">
        <v>833</v>
      </c>
      <c r="D340" t="s">
        <v>13</v>
      </c>
      <c r="E340" t="s">
        <v>14</v>
      </c>
      <c r="F340" t="s">
        <v>15</v>
      </c>
      <c r="G340" t="s">
        <v>41</v>
      </c>
      <c r="H340" t="s">
        <v>85</v>
      </c>
      <c r="I340">
        <v>10</v>
      </c>
      <c r="J340" s="1">
        <v>666.25</v>
      </c>
      <c r="K340">
        <v>7.0000000000000007E-2</v>
      </c>
      <c r="L340" s="1">
        <v>5098.3999999999996</v>
      </c>
      <c r="M340" s="1">
        <v>1728.64</v>
      </c>
      <c r="N340" s="1">
        <v>55.61</v>
      </c>
      <c r="O340" t="s">
        <v>57</v>
      </c>
      <c r="P340">
        <v>3</v>
      </c>
      <c r="Q340" t="b">
        <v>0</v>
      </c>
      <c r="R340" t="s">
        <v>18</v>
      </c>
      <c r="S340">
        <v>8</v>
      </c>
      <c r="T340" t="e">
        <f>IF(#REF!&lt;=25, "Young Age", IF(#REF!&lt;=40, "Mid Age", "Old Age"))</f>
        <v>#REF!</v>
      </c>
      <c r="U340" t="str">
        <f t="shared" si="5"/>
        <v>Over Delayed</v>
      </c>
    </row>
    <row r="341" spans="1:21" x14ac:dyDescent="0.35">
      <c r="A341" t="s">
        <v>834</v>
      </c>
      <c r="B341" s="13">
        <v>45630</v>
      </c>
      <c r="C341" t="s">
        <v>835</v>
      </c>
      <c r="D341" t="s">
        <v>3</v>
      </c>
      <c r="E341" t="s">
        <v>4</v>
      </c>
      <c r="F341" t="s">
        <v>48</v>
      </c>
      <c r="G341" t="s">
        <v>105</v>
      </c>
      <c r="H341" t="s">
        <v>106</v>
      </c>
      <c r="I341">
        <v>4</v>
      </c>
      <c r="J341" s="1">
        <v>51581.35</v>
      </c>
      <c r="K341">
        <v>0.38</v>
      </c>
      <c r="L341" s="1">
        <v>131067.26</v>
      </c>
      <c r="M341" s="1">
        <v>15238.43</v>
      </c>
      <c r="N341" s="1">
        <v>72.66</v>
      </c>
      <c r="O341" t="s">
        <v>36</v>
      </c>
      <c r="P341">
        <v>4</v>
      </c>
      <c r="Q341" t="b">
        <v>1</v>
      </c>
      <c r="R341" t="s">
        <v>9</v>
      </c>
      <c r="S341">
        <v>8</v>
      </c>
      <c r="T341" t="e">
        <f>IF(#REF!&lt;=25, "Young Age", IF(#REF!&lt;=40, "Mid Age", "Old Age"))</f>
        <v>#REF!</v>
      </c>
      <c r="U341" t="str">
        <f t="shared" si="5"/>
        <v>Over Delayed</v>
      </c>
    </row>
    <row r="342" spans="1:21" x14ac:dyDescent="0.35">
      <c r="A342" t="s">
        <v>836</v>
      </c>
      <c r="B342" s="13">
        <v>44778</v>
      </c>
      <c r="C342" t="s">
        <v>837</v>
      </c>
      <c r="D342" t="s">
        <v>13</v>
      </c>
      <c r="E342" t="s">
        <v>61</v>
      </c>
      <c r="F342" t="s">
        <v>271</v>
      </c>
      <c r="G342" t="s">
        <v>105</v>
      </c>
      <c r="H342" t="s">
        <v>106</v>
      </c>
      <c r="I342">
        <v>1</v>
      </c>
      <c r="J342" s="1">
        <v>67980.929999999993</v>
      </c>
      <c r="K342">
        <v>0</v>
      </c>
      <c r="L342" s="1">
        <v>96948</v>
      </c>
      <c r="M342" s="1">
        <v>11975.81</v>
      </c>
      <c r="N342" s="1">
        <v>63.26</v>
      </c>
      <c r="O342" t="s">
        <v>43</v>
      </c>
      <c r="P342">
        <v>4</v>
      </c>
      <c r="Q342" t="b">
        <v>0</v>
      </c>
      <c r="R342" t="s">
        <v>18</v>
      </c>
      <c r="S342">
        <v>9</v>
      </c>
      <c r="T342" t="e">
        <f>IF(#REF!&lt;=25, "Young Age", IF(#REF!&lt;=40, "Mid Age", "Old Age"))</f>
        <v>#REF!</v>
      </c>
      <c r="U342" t="str">
        <f t="shared" si="5"/>
        <v>Over Delayed</v>
      </c>
    </row>
    <row r="343" spans="1:21" x14ac:dyDescent="0.35">
      <c r="A343" t="s">
        <v>838</v>
      </c>
      <c r="B343" s="13">
        <v>44893</v>
      </c>
      <c r="C343" t="s">
        <v>839</v>
      </c>
      <c r="D343" t="s">
        <v>3</v>
      </c>
      <c r="E343" t="s">
        <v>53</v>
      </c>
      <c r="F343" t="s">
        <v>170</v>
      </c>
      <c r="G343" t="s">
        <v>41</v>
      </c>
      <c r="H343" t="s">
        <v>244</v>
      </c>
      <c r="I343">
        <v>5</v>
      </c>
      <c r="J343" s="1">
        <v>1175.29</v>
      </c>
      <c r="K343">
        <v>0.36</v>
      </c>
      <c r="L343" s="1">
        <v>3025.64</v>
      </c>
      <c r="M343" s="1">
        <v>1294.96</v>
      </c>
      <c r="N343" s="1">
        <v>66.209999999999994</v>
      </c>
      <c r="O343" t="s">
        <v>36</v>
      </c>
      <c r="P343">
        <v>2</v>
      </c>
      <c r="Q343" t="b">
        <v>0</v>
      </c>
      <c r="R343" t="s">
        <v>18</v>
      </c>
      <c r="S343">
        <v>4</v>
      </c>
      <c r="T343" t="e">
        <f>IF(#REF!&lt;=25, "Young Age", IF(#REF!&lt;=40, "Mid Age", "Old Age"))</f>
        <v>#REF!</v>
      </c>
      <c r="U343" t="str">
        <f t="shared" si="5"/>
        <v>Okay</v>
      </c>
    </row>
    <row r="344" spans="1:21" x14ac:dyDescent="0.35">
      <c r="A344" t="s">
        <v>840</v>
      </c>
      <c r="B344" s="13">
        <v>44178</v>
      </c>
      <c r="C344" t="s">
        <v>841</v>
      </c>
      <c r="D344" t="s">
        <v>3</v>
      </c>
      <c r="E344" t="s">
        <v>53</v>
      </c>
      <c r="F344" t="s">
        <v>79</v>
      </c>
      <c r="G344" t="s">
        <v>23</v>
      </c>
      <c r="H344" t="s">
        <v>24</v>
      </c>
      <c r="I344">
        <v>5</v>
      </c>
      <c r="J344" s="1">
        <v>30866.799999999999</v>
      </c>
      <c r="K344">
        <v>7.0000000000000007E-2</v>
      </c>
      <c r="L344" s="1">
        <v>87823.05</v>
      </c>
      <c r="M344" s="1">
        <v>26550.31</v>
      </c>
      <c r="N344" s="1">
        <v>38.03</v>
      </c>
      <c r="O344" t="s">
        <v>8</v>
      </c>
      <c r="P344">
        <v>5</v>
      </c>
      <c r="Q344" t="b">
        <v>0</v>
      </c>
      <c r="R344" t="s">
        <v>18</v>
      </c>
      <c r="S344">
        <v>10</v>
      </c>
      <c r="T344" t="e">
        <f>IF(#REF!&lt;=25, "Young Age", IF(#REF!&lt;=40, "Mid Age", "Old Age"))</f>
        <v>#REF!</v>
      </c>
      <c r="U344" t="str">
        <f t="shared" si="5"/>
        <v>Over Delayed</v>
      </c>
    </row>
    <row r="345" spans="1:21" x14ac:dyDescent="0.35">
      <c r="A345" t="s">
        <v>842</v>
      </c>
      <c r="B345" s="13">
        <v>44113</v>
      </c>
      <c r="C345" t="s">
        <v>843</v>
      </c>
      <c r="D345" t="s">
        <v>13</v>
      </c>
      <c r="E345" t="s">
        <v>4</v>
      </c>
      <c r="F345" t="s">
        <v>48</v>
      </c>
      <c r="G345" t="s">
        <v>16</v>
      </c>
      <c r="H345" t="s">
        <v>390</v>
      </c>
      <c r="I345">
        <v>9</v>
      </c>
      <c r="J345" s="1">
        <v>1406.56</v>
      </c>
      <c r="K345">
        <v>0.1</v>
      </c>
      <c r="L345" s="1">
        <v>8925.0499999999993</v>
      </c>
      <c r="M345" s="1">
        <v>3776.97</v>
      </c>
      <c r="N345" s="1">
        <v>39.94</v>
      </c>
      <c r="O345" t="s">
        <v>43</v>
      </c>
      <c r="P345" t="s">
        <v>2149</v>
      </c>
      <c r="Q345" t="b">
        <v>0</v>
      </c>
      <c r="R345" t="s">
        <v>18</v>
      </c>
      <c r="S345">
        <v>5</v>
      </c>
      <c r="T345" t="e">
        <f>IF(#REF!&lt;=25, "Young Age", IF(#REF!&lt;=40, "Mid Age", "Old Age"))</f>
        <v>#REF!</v>
      </c>
      <c r="U345" t="str">
        <f t="shared" si="5"/>
        <v>Delayed</v>
      </c>
    </row>
    <row r="346" spans="1:21" x14ac:dyDescent="0.35">
      <c r="A346" t="s">
        <v>844</v>
      </c>
      <c r="B346" s="13">
        <v>44148</v>
      </c>
      <c r="C346" t="s">
        <v>845</v>
      </c>
      <c r="D346" t="s">
        <v>47</v>
      </c>
      <c r="E346" t="s">
        <v>61</v>
      </c>
      <c r="F346" t="s">
        <v>62</v>
      </c>
      <c r="G346" t="s">
        <v>105</v>
      </c>
      <c r="H346" t="s">
        <v>106</v>
      </c>
      <c r="I346">
        <v>6</v>
      </c>
      <c r="J346" s="1">
        <v>50084.03</v>
      </c>
      <c r="K346">
        <v>0.17</v>
      </c>
      <c r="L346" s="1">
        <v>186628.87</v>
      </c>
      <c r="M346" s="1">
        <v>20981.15</v>
      </c>
      <c r="N346" s="1">
        <v>94.58</v>
      </c>
      <c r="O346" t="s">
        <v>8</v>
      </c>
      <c r="P346">
        <v>4</v>
      </c>
      <c r="Q346" t="b">
        <v>0</v>
      </c>
      <c r="R346" t="s">
        <v>63</v>
      </c>
      <c r="S346">
        <v>6</v>
      </c>
      <c r="T346" t="e">
        <f>IF(#REF!&lt;=25, "Young Age", IF(#REF!&lt;=40, "Mid Age", "Old Age"))</f>
        <v>#REF!</v>
      </c>
      <c r="U346" t="str">
        <f t="shared" si="5"/>
        <v>Delayed</v>
      </c>
    </row>
    <row r="347" spans="1:21" x14ac:dyDescent="0.35">
      <c r="A347" t="s">
        <v>846</v>
      </c>
      <c r="B347" s="13">
        <v>44024</v>
      </c>
      <c r="C347" t="s">
        <v>847</v>
      </c>
      <c r="D347" t="s">
        <v>13</v>
      </c>
      <c r="E347" t="s">
        <v>14</v>
      </c>
      <c r="F347" t="s">
        <v>28</v>
      </c>
      <c r="G347" t="s">
        <v>6</v>
      </c>
      <c r="H347" t="s">
        <v>35</v>
      </c>
      <c r="I347">
        <v>2</v>
      </c>
      <c r="J347" s="1">
        <v>379.2</v>
      </c>
      <c r="K347">
        <v>0.2</v>
      </c>
      <c r="L347" s="1">
        <v>658.39</v>
      </c>
      <c r="M347" s="1">
        <v>27.25</v>
      </c>
      <c r="N347" s="1">
        <v>67.650000000000006</v>
      </c>
      <c r="O347" t="s">
        <v>57</v>
      </c>
      <c r="P347">
        <v>1</v>
      </c>
      <c r="Q347" t="b">
        <v>0</v>
      </c>
      <c r="R347" t="s">
        <v>18</v>
      </c>
      <c r="S347">
        <v>7</v>
      </c>
      <c r="T347" t="e">
        <f>IF(#REF!&lt;=25, "Young Age", IF(#REF!&lt;=40, "Mid Age", "Old Age"))</f>
        <v>#REF!</v>
      </c>
      <c r="U347" t="str">
        <f t="shared" si="5"/>
        <v>Delayed</v>
      </c>
    </row>
    <row r="348" spans="1:21" x14ac:dyDescent="0.35">
      <c r="A348" t="s">
        <v>848</v>
      </c>
      <c r="B348" s="13">
        <v>43881</v>
      </c>
      <c r="C348" t="s">
        <v>849</v>
      </c>
      <c r="D348" t="s">
        <v>47</v>
      </c>
      <c r="E348" t="s">
        <v>89</v>
      </c>
      <c r="F348" t="s">
        <v>90</v>
      </c>
      <c r="G348" t="s">
        <v>16</v>
      </c>
      <c r="H348" t="s">
        <v>80</v>
      </c>
      <c r="I348">
        <v>2</v>
      </c>
      <c r="J348" s="1">
        <v>959.97</v>
      </c>
      <c r="K348">
        <v>0.05</v>
      </c>
      <c r="L348" s="1">
        <v>1563.91</v>
      </c>
      <c r="M348" s="1">
        <v>630.51</v>
      </c>
      <c r="N348" s="1">
        <v>71.849999999999994</v>
      </c>
      <c r="O348" t="s">
        <v>30</v>
      </c>
      <c r="P348">
        <v>4</v>
      </c>
      <c r="Q348" t="b">
        <v>0</v>
      </c>
      <c r="R348" t="s">
        <v>18</v>
      </c>
      <c r="S348">
        <v>2</v>
      </c>
      <c r="T348" t="e">
        <f>IF(#REF!&lt;=25, "Young Age", IF(#REF!&lt;=40, "Mid Age", "Old Age"))</f>
        <v>#REF!</v>
      </c>
      <c r="U348" t="str">
        <f t="shared" si="5"/>
        <v>Okay</v>
      </c>
    </row>
    <row r="349" spans="1:21" x14ac:dyDescent="0.35">
      <c r="A349" t="s">
        <v>850</v>
      </c>
      <c r="B349" s="13" t="s">
        <v>851</v>
      </c>
      <c r="C349" t="s">
        <v>852</v>
      </c>
      <c r="D349" t="s">
        <v>13</v>
      </c>
      <c r="E349" t="s">
        <v>4</v>
      </c>
      <c r="F349" t="s">
        <v>34</v>
      </c>
      <c r="G349" t="s">
        <v>55</v>
      </c>
      <c r="H349" t="s">
        <v>67</v>
      </c>
      <c r="I349">
        <v>1</v>
      </c>
      <c r="J349" s="1">
        <v>1604.88</v>
      </c>
      <c r="K349">
        <v>0.22</v>
      </c>
      <c r="L349" s="1">
        <v>1620.42</v>
      </c>
      <c r="M349" s="1">
        <v>414.75</v>
      </c>
      <c r="N349" s="1">
        <v>71.08</v>
      </c>
      <c r="O349" t="s">
        <v>8</v>
      </c>
      <c r="P349">
        <v>3</v>
      </c>
      <c r="Q349" t="b">
        <v>1</v>
      </c>
      <c r="R349" t="s">
        <v>9</v>
      </c>
      <c r="S349">
        <v>4</v>
      </c>
      <c r="T349" t="e">
        <f>IF(#REF!&lt;=25, "Young Age", IF(#REF!&lt;=40, "Mid Age", "Old Age"))</f>
        <v>#REF!</v>
      </c>
      <c r="U349" t="str">
        <f t="shared" si="5"/>
        <v>Okay</v>
      </c>
    </row>
    <row r="350" spans="1:21" x14ac:dyDescent="0.35">
      <c r="A350" t="s">
        <v>853</v>
      </c>
      <c r="B350" s="13">
        <v>44852</v>
      </c>
      <c r="C350" t="s">
        <v>854</v>
      </c>
      <c r="D350" t="s">
        <v>3</v>
      </c>
      <c r="E350" t="s">
        <v>53</v>
      </c>
      <c r="F350" t="s">
        <v>79</v>
      </c>
      <c r="G350" t="s">
        <v>55</v>
      </c>
      <c r="H350" t="s">
        <v>67</v>
      </c>
      <c r="I350">
        <v>5</v>
      </c>
      <c r="J350" s="1">
        <v>3077.69</v>
      </c>
      <c r="K350">
        <v>0.12</v>
      </c>
      <c r="L350" s="1">
        <v>12279.25</v>
      </c>
      <c r="M350" s="1">
        <v>4018.97</v>
      </c>
      <c r="N350" s="1">
        <v>55.38</v>
      </c>
      <c r="O350" t="s">
        <v>57</v>
      </c>
      <c r="P350">
        <v>3</v>
      </c>
      <c r="Q350" t="b">
        <v>0</v>
      </c>
      <c r="R350" t="s">
        <v>18</v>
      </c>
      <c r="S350">
        <v>8</v>
      </c>
      <c r="T350" t="e">
        <f>IF(#REF!&lt;=25, "Young Age", IF(#REF!&lt;=40, "Mid Age", "Old Age"))</f>
        <v>#REF!</v>
      </c>
      <c r="U350" t="str">
        <f t="shared" si="5"/>
        <v>Over Delayed</v>
      </c>
    </row>
    <row r="351" spans="1:21" x14ac:dyDescent="0.35">
      <c r="A351" t="s">
        <v>855</v>
      </c>
      <c r="B351" s="13">
        <v>44344</v>
      </c>
      <c r="C351" t="s">
        <v>856</v>
      </c>
      <c r="D351" t="s">
        <v>3</v>
      </c>
      <c r="E351" t="s">
        <v>4</v>
      </c>
      <c r="F351" t="s">
        <v>5</v>
      </c>
      <c r="G351" t="s">
        <v>6</v>
      </c>
      <c r="H351" t="s">
        <v>374</v>
      </c>
      <c r="I351">
        <v>10</v>
      </c>
      <c r="J351" s="1">
        <v>179.45</v>
      </c>
      <c r="K351">
        <v>0.1</v>
      </c>
      <c r="L351" s="1">
        <v>2253.34</v>
      </c>
      <c r="M351" s="1">
        <v>170.8</v>
      </c>
      <c r="N351" s="1">
        <v>35.54</v>
      </c>
      <c r="O351" t="s">
        <v>30</v>
      </c>
      <c r="P351" t="s">
        <v>2149</v>
      </c>
      <c r="Q351" t="b">
        <v>0</v>
      </c>
      <c r="R351" t="s">
        <v>18</v>
      </c>
      <c r="S351">
        <v>7</v>
      </c>
      <c r="T351" t="e">
        <f>IF(#REF!&lt;=25, "Young Age", IF(#REF!&lt;=40, "Mid Age", "Old Age"))</f>
        <v>#REF!</v>
      </c>
      <c r="U351" t="str">
        <f t="shared" si="5"/>
        <v>Delayed</v>
      </c>
    </row>
    <row r="352" spans="1:21" x14ac:dyDescent="0.35">
      <c r="A352" t="s">
        <v>857</v>
      </c>
      <c r="B352" s="13">
        <v>45344</v>
      </c>
      <c r="C352" t="s">
        <v>858</v>
      </c>
      <c r="D352" t="s">
        <v>3</v>
      </c>
      <c r="E352" t="s">
        <v>14</v>
      </c>
      <c r="F352" t="s">
        <v>28</v>
      </c>
      <c r="G352" t="s">
        <v>55</v>
      </c>
      <c r="H352" t="s">
        <v>91</v>
      </c>
      <c r="I352">
        <v>6</v>
      </c>
      <c r="J352" s="1">
        <v>1277.6600000000001</v>
      </c>
      <c r="K352">
        <v>0</v>
      </c>
      <c r="L352" s="1">
        <v>7425.11</v>
      </c>
      <c r="M352" s="1">
        <v>2123.71</v>
      </c>
      <c r="N352" s="1">
        <v>43.17</v>
      </c>
      <c r="O352" t="s">
        <v>36</v>
      </c>
      <c r="P352">
        <v>1</v>
      </c>
      <c r="Q352" t="b">
        <v>0</v>
      </c>
      <c r="R352" t="s">
        <v>18</v>
      </c>
      <c r="S352">
        <v>10</v>
      </c>
      <c r="T352" t="e">
        <f>IF(#REF!&lt;=25, "Young Age", IF(#REF!&lt;=40, "Mid Age", "Old Age"))</f>
        <v>#REF!</v>
      </c>
      <c r="U352" t="str">
        <f t="shared" si="5"/>
        <v>Over Delayed</v>
      </c>
    </row>
    <row r="353" spans="1:21" x14ac:dyDescent="0.35">
      <c r="A353" t="s">
        <v>859</v>
      </c>
      <c r="B353" s="13">
        <v>44717</v>
      </c>
      <c r="C353" t="s">
        <v>860</v>
      </c>
      <c r="D353" t="s">
        <v>47</v>
      </c>
      <c r="E353" t="s">
        <v>14</v>
      </c>
      <c r="F353" t="s">
        <v>84</v>
      </c>
      <c r="G353" t="s">
        <v>124</v>
      </c>
      <c r="H353" t="s">
        <v>156</v>
      </c>
      <c r="I353">
        <v>10</v>
      </c>
      <c r="J353" s="1">
        <v>6308.82</v>
      </c>
      <c r="K353">
        <v>0.36</v>
      </c>
      <c r="L353" s="1">
        <v>65319.25</v>
      </c>
      <c r="M353" s="1">
        <v>13727.44</v>
      </c>
      <c r="N353" s="1">
        <v>63.87</v>
      </c>
      <c r="O353" t="s">
        <v>36</v>
      </c>
      <c r="P353">
        <v>1</v>
      </c>
      <c r="Q353" t="b">
        <v>1</v>
      </c>
      <c r="R353" t="s">
        <v>9</v>
      </c>
      <c r="S353">
        <v>7</v>
      </c>
      <c r="T353" t="e">
        <f>IF(#REF!&lt;=25, "Young Age", IF(#REF!&lt;=40, "Mid Age", "Old Age"))</f>
        <v>#REF!</v>
      </c>
      <c r="U353" t="str">
        <f t="shared" si="5"/>
        <v>Delayed</v>
      </c>
    </row>
    <row r="354" spans="1:21" x14ac:dyDescent="0.35">
      <c r="A354" t="s">
        <v>861</v>
      </c>
      <c r="B354" s="13">
        <v>45221</v>
      </c>
      <c r="C354" t="s">
        <v>862</v>
      </c>
      <c r="D354" t="s">
        <v>3</v>
      </c>
      <c r="E354" t="s">
        <v>53</v>
      </c>
      <c r="F354" t="s">
        <v>54</v>
      </c>
      <c r="G354" t="s">
        <v>16</v>
      </c>
      <c r="H354" t="s">
        <v>160</v>
      </c>
      <c r="I354">
        <v>10</v>
      </c>
      <c r="J354" s="1">
        <v>850.71</v>
      </c>
      <c r="K354">
        <v>0.4</v>
      </c>
      <c r="L354" s="1">
        <v>5762.75</v>
      </c>
      <c r="M354" s="1">
        <v>2735.24</v>
      </c>
      <c r="N354" s="1">
        <v>38.04</v>
      </c>
      <c r="O354" t="s">
        <v>43</v>
      </c>
      <c r="P354">
        <v>4</v>
      </c>
      <c r="Q354" t="b">
        <v>0</v>
      </c>
      <c r="R354" t="s">
        <v>18</v>
      </c>
      <c r="S354">
        <v>6</v>
      </c>
      <c r="T354" t="e">
        <f>IF(#REF!&lt;=25, "Young Age", IF(#REF!&lt;=40, "Mid Age", "Old Age"))</f>
        <v>#REF!</v>
      </c>
      <c r="U354" t="str">
        <f t="shared" si="5"/>
        <v>Delayed</v>
      </c>
    </row>
    <row r="355" spans="1:21" x14ac:dyDescent="0.35">
      <c r="A355" t="s">
        <v>863</v>
      </c>
      <c r="B355" s="13">
        <v>45094</v>
      </c>
      <c r="C355" t="s">
        <v>864</v>
      </c>
      <c r="D355" t="s">
        <v>13</v>
      </c>
      <c r="E355" t="s">
        <v>53</v>
      </c>
      <c r="F355" t="s">
        <v>114</v>
      </c>
      <c r="G355" t="s">
        <v>6</v>
      </c>
      <c r="H355" t="s">
        <v>353</v>
      </c>
      <c r="I355">
        <v>5</v>
      </c>
      <c r="J355" s="1">
        <v>200.85</v>
      </c>
      <c r="K355">
        <v>0.36</v>
      </c>
      <c r="L355" s="1">
        <v>1116.3800000000001</v>
      </c>
      <c r="M355" s="1">
        <v>71.67</v>
      </c>
      <c r="N355" s="1">
        <v>58.1</v>
      </c>
      <c r="O355" t="s">
        <v>30</v>
      </c>
      <c r="P355">
        <v>2</v>
      </c>
      <c r="Q355" t="b">
        <v>0</v>
      </c>
      <c r="R355" t="s">
        <v>18</v>
      </c>
      <c r="S355">
        <v>1</v>
      </c>
      <c r="T355" t="e">
        <f>IF(#REF!&lt;=25, "Young Age", IF(#REF!&lt;=40, "Mid Age", "Old Age"))</f>
        <v>#REF!</v>
      </c>
      <c r="U355" t="str">
        <f t="shared" si="5"/>
        <v>Okay</v>
      </c>
    </row>
    <row r="356" spans="1:21" x14ac:dyDescent="0.35">
      <c r="A356" t="s">
        <v>865</v>
      </c>
      <c r="B356" s="13">
        <v>44418</v>
      </c>
      <c r="C356" t="s">
        <v>866</v>
      </c>
      <c r="D356" t="s">
        <v>47</v>
      </c>
      <c r="E356" t="s">
        <v>61</v>
      </c>
      <c r="F356" t="s">
        <v>222</v>
      </c>
      <c r="G356" t="s">
        <v>23</v>
      </c>
      <c r="H356" t="s">
        <v>24</v>
      </c>
      <c r="I356">
        <v>3</v>
      </c>
      <c r="J356" s="1">
        <v>23823.69</v>
      </c>
      <c r="K356">
        <v>0.11</v>
      </c>
      <c r="L356" s="1">
        <v>88956.71</v>
      </c>
      <c r="M356" s="1">
        <v>26211.15</v>
      </c>
      <c r="N356" s="1">
        <v>95.16</v>
      </c>
      <c r="O356" t="s">
        <v>30</v>
      </c>
      <c r="P356">
        <v>5</v>
      </c>
      <c r="Q356" t="b">
        <v>0</v>
      </c>
      <c r="R356" t="s">
        <v>18</v>
      </c>
      <c r="S356">
        <v>6</v>
      </c>
      <c r="T356" t="e">
        <f>IF(#REF!&lt;=25, "Young Age", IF(#REF!&lt;=40, "Mid Age", "Old Age"))</f>
        <v>#REF!</v>
      </c>
      <c r="U356" t="str">
        <f t="shared" si="5"/>
        <v>Delayed</v>
      </c>
    </row>
    <row r="357" spans="1:21" x14ac:dyDescent="0.35">
      <c r="A357" t="s">
        <v>867</v>
      </c>
      <c r="B357" s="13">
        <v>44492</v>
      </c>
      <c r="C357" t="s">
        <v>868</v>
      </c>
      <c r="D357" t="s">
        <v>3</v>
      </c>
      <c r="E357" t="s">
        <v>14</v>
      </c>
      <c r="F357" t="s">
        <v>28</v>
      </c>
      <c r="G357" t="s">
        <v>124</v>
      </c>
      <c r="H357" t="s">
        <v>139</v>
      </c>
      <c r="I357">
        <v>6</v>
      </c>
      <c r="J357" s="1">
        <v>10030.26</v>
      </c>
      <c r="K357">
        <v>0.17</v>
      </c>
      <c r="L357" s="1">
        <v>51174.21</v>
      </c>
      <c r="M357" s="1">
        <v>14093.89</v>
      </c>
      <c r="N357" s="1">
        <v>33.86</v>
      </c>
      <c r="O357" t="s">
        <v>36</v>
      </c>
      <c r="P357">
        <v>4</v>
      </c>
      <c r="Q357" t="b">
        <v>0</v>
      </c>
      <c r="R357" t="s">
        <v>18</v>
      </c>
      <c r="S357">
        <v>8</v>
      </c>
      <c r="T357" t="e">
        <f>IF(#REF!&lt;=25, "Young Age", IF(#REF!&lt;=40, "Mid Age", "Old Age"))</f>
        <v>#REF!</v>
      </c>
      <c r="U357" t="str">
        <f t="shared" si="5"/>
        <v>Over Delayed</v>
      </c>
    </row>
    <row r="358" spans="1:21" x14ac:dyDescent="0.35">
      <c r="A358" t="s">
        <v>869</v>
      </c>
      <c r="B358" s="13">
        <v>44873</v>
      </c>
      <c r="C358" t="s">
        <v>870</v>
      </c>
      <c r="D358" t="s">
        <v>13</v>
      </c>
      <c r="E358" t="s">
        <v>61</v>
      </c>
      <c r="F358" t="s">
        <v>271</v>
      </c>
      <c r="G358" t="s">
        <v>105</v>
      </c>
      <c r="H358" t="s">
        <v>149</v>
      </c>
      <c r="I358">
        <v>9</v>
      </c>
      <c r="J358" s="1">
        <v>33801.96</v>
      </c>
      <c r="K358">
        <v>0.4</v>
      </c>
      <c r="L358" s="1">
        <v>175761.72</v>
      </c>
      <c r="M358" s="1">
        <v>23971.25</v>
      </c>
      <c r="N358" s="1">
        <v>95.97</v>
      </c>
      <c r="O358" t="s">
        <v>43</v>
      </c>
      <c r="P358" t="s">
        <v>2149</v>
      </c>
      <c r="Q358" t="b">
        <v>1</v>
      </c>
      <c r="R358" t="s">
        <v>9</v>
      </c>
      <c r="S358">
        <v>7</v>
      </c>
      <c r="T358" t="e">
        <f>IF(#REF!&lt;=25, "Young Age", IF(#REF!&lt;=40, "Mid Age", "Old Age"))</f>
        <v>#REF!</v>
      </c>
      <c r="U358" t="str">
        <f t="shared" si="5"/>
        <v>Delayed</v>
      </c>
    </row>
    <row r="359" spans="1:21" x14ac:dyDescent="0.35">
      <c r="A359" t="s">
        <v>871</v>
      </c>
      <c r="B359" s="13">
        <v>44732</v>
      </c>
      <c r="C359" t="s">
        <v>872</v>
      </c>
      <c r="D359" t="s">
        <v>3</v>
      </c>
      <c r="E359" t="s">
        <v>89</v>
      </c>
      <c r="F359" t="s">
        <v>90</v>
      </c>
      <c r="G359" t="s">
        <v>55</v>
      </c>
      <c r="H359" t="s">
        <v>56</v>
      </c>
      <c r="I359">
        <v>4</v>
      </c>
      <c r="J359" s="1">
        <v>2288.92</v>
      </c>
      <c r="K359">
        <v>0.09</v>
      </c>
      <c r="L359" s="1">
        <v>11495.42</v>
      </c>
      <c r="M359" s="1">
        <v>3680.34</v>
      </c>
      <c r="N359" s="1">
        <v>53.41</v>
      </c>
      <c r="O359" t="s">
        <v>43</v>
      </c>
      <c r="P359">
        <v>4</v>
      </c>
      <c r="Q359" t="b">
        <v>0</v>
      </c>
      <c r="R359" t="s">
        <v>115</v>
      </c>
      <c r="S359">
        <v>8</v>
      </c>
      <c r="T359" t="e">
        <f>IF(#REF!&lt;=25, "Young Age", IF(#REF!&lt;=40, "Mid Age", "Old Age"))</f>
        <v>#REF!</v>
      </c>
      <c r="U359" t="str">
        <f t="shared" si="5"/>
        <v>Over Delayed</v>
      </c>
    </row>
    <row r="360" spans="1:21" x14ac:dyDescent="0.35">
      <c r="A360" t="s">
        <v>873</v>
      </c>
      <c r="B360" s="13">
        <v>44732</v>
      </c>
      <c r="C360" t="s">
        <v>874</v>
      </c>
      <c r="D360" t="s">
        <v>13</v>
      </c>
      <c r="E360" t="s">
        <v>4</v>
      </c>
      <c r="F360" t="s">
        <v>148</v>
      </c>
      <c r="G360" t="s">
        <v>6</v>
      </c>
      <c r="H360" t="s">
        <v>387</v>
      </c>
      <c r="I360">
        <v>8</v>
      </c>
      <c r="J360" s="1">
        <v>377.69</v>
      </c>
      <c r="K360">
        <v>0.27</v>
      </c>
      <c r="L360" s="1">
        <v>3219.24</v>
      </c>
      <c r="M360" s="1">
        <v>244.77</v>
      </c>
      <c r="N360" s="1">
        <v>42.69</v>
      </c>
      <c r="O360" t="s">
        <v>49</v>
      </c>
      <c r="P360">
        <v>1</v>
      </c>
      <c r="Q360" t="b">
        <v>0</v>
      </c>
      <c r="R360" t="s">
        <v>175</v>
      </c>
      <c r="S360">
        <v>4</v>
      </c>
      <c r="T360" t="e">
        <f>IF(#REF!&lt;=25, "Young Age", IF(#REF!&lt;=40, "Mid Age", "Old Age"))</f>
        <v>#REF!</v>
      </c>
      <c r="U360" t="str">
        <f t="shared" si="5"/>
        <v>Okay</v>
      </c>
    </row>
    <row r="361" spans="1:21" x14ac:dyDescent="0.35">
      <c r="A361" t="s">
        <v>875</v>
      </c>
      <c r="B361" s="13">
        <v>43918</v>
      </c>
      <c r="C361" t="s">
        <v>876</v>
      </c>
      <c r="D361" t="s">
        <v>3</v>
      </c>
      <c r="E361" t="s">
        <v>53</v>
      </c>
      <c r="F361" t="s">
        <v>54</v>
      </c>
      <c r="G361" t="s">
        <v>124</v>
      </c>
      <c r="H361" t="s">
        <v>254</v>
      </c>
      <c r="I361">
        <v>8</v>
      </c>
      <c r="J361" s="1">
        <v>10282.68</v>
      </c>
      <c r="K361">
        <v>0.11</v>
      </c>
      <c r="L361" s="1">
        <v>66340.960000000006</v>
      </c>
      <c r="M361" s="1">
        <v>13106.07</v>
      </c>
      <c r="N361" s="1">
        <v>65.44</v>
      </c>
      <c r="O361" t="s">
        <v>36</v>
      </c>
      <c r="P361">
        <v>1</v>
      </c>
      <c r="Q361" t="b">
        <v>0</v>
      </c>
      <c r="R361" t="s">
        <v>18</v>
      </c>
      <c r="S361">
        <v>3</v>
      </c>
      <c r="T361" t="e">
        <f>IF(#REF!&lt;=25, "Young Age", IF(#REF!&lt;=40, "Mid Age", "Old Age"))</f>
        <v>#REF!</v>
      </c>
      <c r="U361" t="str">
        <f t="shared" si="5"/>
        <v>Okay</v>
      </c>
    </row>
    <row r="362" spans="1:21" x14ac:dyDescent="0.35">
      <c r="A362" t="s">
        <v>877</v>
      </c>
      <c r="B362" s="13">
        <v>44543</v>
      </c>
      <c r="C362" t="s">
        <v>878</v>
      </c>
      <c r="D362" t="s">
        <v>13</v>
      </c>
      <c r="E362" t="s">
        <v>89</v>
      </c>
      <c r="F362" t="s">
        <v>90</v>
      </c>
      <c r="G362" t="s">
        <v>41</v>
      </c>
      <c r="H362" t="s">
        <v>42</v>
      </c>
      <c r="I362">
        <v>7</v>
      </c>
      <c r="J362" s="1">
        <v>233.11</v>
      </c>
      <c r="K362">
        <v>0.36</v>
      </c>
      <c r="L362" s="1">
        <v>762.89</v>
      </c>
      <c r="M362" s="1">
        <v>271.36</v>
      </c>
      <c r="N362" s="1">
        <v>71.2</v>
      </c>
      <c r="O362" t="s">
        <v>57</v>
      </c>
      <c r="P362" t="s">
        <v>2149</v>
      </c>
      <c r="Q362" t="b">
        <v>0</v>
      </c>
      <c r="R362" t="s">
        <v>18</v>
      </c>
      <c r="S362">
        <v>2</v>
      </c>
      <c r="T362" t="e">
        <f>IF(#REF!&lt;=25, "Young Age", IF(#REF!&lt;=40, "Mid Age", "Old Age"))</f>
        <v>#REF!</v>
      </c>
      <c r="U362" t="str">
        <f t="shared" si="5"/>
        <v>Okay</v>
      </c>
    </row>
    <row r="363" spans="1:21" x14ac:dyDescent="0.35">
      <c r="A363" t="s">
        <v>879</v>
      </c>
      <c r="B363" s="13">
        <v>44194</v>
      </c>
      <c r="C363" t="s">
        <v>880</v>
      </c>
      <c r="D363" t="s">
        <v>13</v>
      </c>
      <c r="E363" t="s">
        <v>14</v>
      </c>
      <c r="F363" t="s">
        <v>15</v>
      </c>
      <c r="G363" t="s">
        <v>124</v>
      </c>
      <c r="H363" t="s">
        <v>413</v>
      </c>
      <c r="I363">
        <v>4</v>
      </c>
      <c r="J363" s="1">
        <v>2347.62</v>
      </c>
      <c r="K363">
        <v>0.22</v>
      </c>
      <c r="L363" s="1">
        <v>5426.75</v>
      </c>
      <c r="M363" s="1">
        <v>1694.29</v>
      </c>
      <c r="N363" s="1">
        <v>36.229999999999997</v>
      </c>
      <c r="O363" t="s">
        <v>8</v>
      </c>
      <c r="P363">
        <v>1</v>
      </c>
      <c r="Q363" t="b">
        <v>0</v>
      </c>
      <c r="R363" t="s">
        <v>18</v>
      </c>
      <c r="S363">
        <v>10</v>
      </c>
      <c r="T363" t="e">
        <f>IF(#REF!&lt;=25, "Young Age", IF(#REF!&lt;=40, "Mid Age", "Old Age"))</f>
        <v>#REF!</v>
      </c>
      <c r="U363" t="str">
        <f t="shared" si="5"/>
        <v>Over Delayed</v>
      </c>
    </row>
    <row r="364" spans="1:21" x14ac:dyDescent="0.35">
      <c r="A364" t="s">
        <v>881</v>
      </c>
      <c r="B364" s="13">
        <v>45524</v>
      </c>
      <c r="C364" t="s">
        <v>882</v>
      </c>
      <c r="D364" t="s">
        <v>3</v>
      </c>
      <c r="E364" t="s">
        <v>14</v>
      </c>
      <c r="F364" t="s">
        <v>22</v>
      </c>
      <c r="G364" t="s">
        <v>124</v>
      </c>
      <c r="H364" t="s">
        <v>125</v>
      </c>
      <c r="I364">
        <v>8</v>
      </c>
      <c r="J364" s="1">
        <v>8802.69</v>
      </c>
      <c r="K364">
        <v>0.36</v>
      </c>
      <c r="L364" s="1">
        <v>54768.47</v>
      </c>
      <c r="M364" s="1">
        <v>12390.55</v>
      </c>
      <c r="N364" s="1">
        <v>76.209999999999994</v>
      </c>
      <c r="O364" t="s">
        <v>49</v>
      </c>
      <c r="P364">
        <v>5</v>
      </c>
      <c r="Q364" t="b">
        <v>0</v>
      </c>
      <c r="R364" t="s">
        <v>18</v>
      </c>
      <c r="S364" t="s">
        <v>2149</v>
      </c>
      <c r="T364" t="e">
        <f>IF(#REF!&lt;=25, "Young Age", IF(#REF!&lt;=40, "Mid Age", "Old Age"))</f>
        <v>#REF!</v>
      </c>
      <c r="U364" t="str">
        <f t="shared" si="5"/>
        <v>Over Delayed</v>
      </c>
    </row>
    <row r="365" spans="1:21" x14ac:dyDescent="0.35">
      <c r="A365" t="s">
        <v>883</v>
      </c>
      <c r="B365" s="13">
        <v>44289</v>
      </c>
      <c r="C365" t="s">
        <v>884</v>
      </c>
      <c r="D365" t="s">
        <v>3</v>
      </c>
      <c r="E365" t="s">
        <v>61</v>
      </c>
      <c r="F365" t="s">
        <v>222</v>
      </c>
      <c r="G365" t="s">
        <v>55</v>
      </c>
      <c r="H365" t="s">
        <v>110</v>
      </c>
      <c r="I365">
        <v>8</v>
      </c>
      <c r="J365" s="1">
        <v>1837.46</v>
      </c>
      <c r="K365">
        <v>0.26</v>
      </c>
      <c r="L365" s="1">
        <v>13934.11</v>
      </c>
      <c r="M365" s="1">
        <v>4142.9399999999996</v>
      </c>
      <c r="N365" s="1">
        <v>81.400000000000006</v>
      </c>
      <c r="O365" t="s">
        <v>30</v>
      </c>
      <c r="P365">
        <v>1</v>
      </c>
      <c r="Q365" t="b">
        <v>0</v>
      </c>
      <c r="R365" t="s">
        <v>63</v>
      </c>
      <c r="S365">
        <v>8</v>
      </c>
      <c r="T365" t="e">
        <f>IF(#REF!&lt;=25, "Young Age", IF(#REF!&lt;=40, "Mid Age", "Old Age"))</f>
        <v>#REF!</v>
      </c>
      <c r="U365" t="str">
        <f t="shared" si="5"/>
        <v>Over Delayed</v>
      </c>
    </row>
    <row r="366" spans="1:21" x14ac:dyDescent="0.35">
      <c r="A366" t="s">
        <v>885</v>
      </c>
      <c r="B366" s="13">
        <v>44827</v>
      </c>
      <c r="C366" t="s">
        <v>886</v>
      </c>
      <c r="D366" t="s">
        <v>13</v>
      </c>
      <c r="E366" t="s">
        <v>61</v>
      </c>
      <c r="F366" t="s">
        <v>104</v>
      </c>
      <c r="G366" t="s">
        <v>124</v>
      </c>
      <c r="H366" t="s">
        <v>195</v>
      </c>
      <c r="J366" s="1">
        <v>7290.72</v>
      </c>
      <c r="K366">
        <v>0</v>
      </c>
      <c r="L366" s="1">
        <v>8729.66</v>
      </c>
      <c r="M366" s="1">
        <v>2532.61</v>
      </c>
      <c r="N366" s="1">
        <v>59.36</v>
      </c>
      <c r="O366" t="s">
        <v>30</v>
      </c>
      <c r="P366">
        <v>5</v>
      </c>
      <c r="Q366" t="b">
        <v>0</v>
      </c>
      <c r="R366" t="s">
        <v>18</v>
      </c>
      <c r="S366">
        <v>2</v>
      </c>
      <c r="T366" t="e">
        <f>IF(#REF!&lt;=25, "Young Age", IF(#REF!&lt;=40, "Mid Age", "Old Age"))</f>
        <v>#REF!</v>
      </c>
      <c r="U366" t="str">
        <f t="shared" si="5"/>
        <v>Okay</v>
      </c>
    </row>
    <row r="367" spans="1:21" x14ac:dyDescent="0.35">
      <c r="A367" t="s">
        <v>887</v>
      </c>
      <c r="B367" s="13">
        <v>43948</v>
      </c>
      <c r="C367" t="s">
        <v>888</v>
      </c>
      <c r="D367" t="s">
        <v>47</v>
      </c>
      <c r="E367" t="s">
        <v>61</v>
      </c>
      <c r="F367" t="s">
        <v>271</v>
      </c>
      <c r="G367" t="s">
        <v>124</v>
      </c>
      <c r="H367" t="s">
        <v>139</v>
      </c>
      <c r="I367">
        <v>6</v>
      </c>
      <c r="J367" s="1">
        <v>7876.81</v>
      </c>
      <c r="K367">
        <v>0.02</v>
      </c>
      <c r="L367" s="1">
        <v>58868.95</v>
      </c>
      <c r="M367" s="1">
        <v>12406.43</v>
      </c>
      <c r="N367" s="1">
        <v>62.09</v>
      </c>
      <c r="O367" t="s">
        <v>8</v>
      </c>
      <c r="P367">
        <v>4</v>
      </c>
      <c r="Q367" t="b">
        <v>0</v>
      </c>
      <c r="R367" t="s">
        <v>115</v>
      </c>
      <c r="S367">
        <v>3</v>
      </c>
      <c r="T367" t="e">
        <f>IF(#REF!&lt;=25, "Young Age", IF(#REF!&lt;=40, "Mid Age", "Old Age"))</f>
        <v>#REF!</v>
      </c>
      <c r="U367" t="str">
        <f t="shared" si="5"/>
        <v>Okay</v>
      </c>
    </row>
    <row r="368" spans="1:21" x14ac:dyDescent="0.35">
      <c r="A368" t="s">
        <v>889</v>
      </c>
      <c r="B368" s="13">
        <v>44591</v>
      </c>
      <c r="C368" t="s">
        <v>890</v>
      </c>
      <c r="D368" t="s">
        <v>47</v>
      </c>
      <c r="E368" t="s">
        <v>53</v>
      </c>
      <c r="F368" t="s">
        <v>170</v>
      </c>
      <c r="G368" t="s">
        <v>41</v>
      </c>
      <c r="H368" t="s">
        <v>129</v>
      </c>
      <c r="I368">
        <v>4</v>
      </c>
      <c r="J368" s="1">
        <v>1134.8900000000001</v>
      </c>
      <c r="K368">
        <v>0.05</v>
      </c>
      <c r="L368" s="1">
        <v>3201.22</v>
      </c>
      <c r="M368" s="1">
        <v>939.71</v>
      </c>
      <c r="N368" s="1">
        <v>68.97</v>
      </c>
      <c r="O368" t="s">
        <v>36</v>
      </c>
      <c r="P368">
        <v>4</v>
      </c>
      <c r="Q368" t="b">
        <v>0</v>
      </c>
      <c r="R368" t="s">
        <v>18</v>
      </c>
      <c r="S368">
        <v>2</v>
      </c>
      <c r="T368" t="e">
        <f>IF(#REF!&lt;=25, "Young Age", IF(#REF!&lt;=40, "Mid Age", "Old Age"))</f>
        <v>#REF!</v>
      </c>
      <c r="U368" t="str">
        <f t="shared" si="5"/>
        <v>Okay</v>
      </c>
    </row>
    <row r="369" spans="1:21" x14ac:dyDescent="0.35">
      <c r="A369" t="s">
        <v>891</v>
      </c>
      <c r="B369" s="13">
        <v>44682</v>
      </c>
      <c r="C369" t="s">
        <v>892</v>
      </c>
      <c r="D369" t="s">
        <v>13</v>
      </c>
      <c r="E369" t="s">
        <v>89</v>
      </c>
      <c r="F369" t="s">
        <v>90</v>
      </c>
      <c r="G369" t="s">
        <v>55</v>
      </c>
      <c r="H369" t="s">
        <v>185</v>
      </c>
      <c r="I369">
        <v>9</v>
      </c>
      <c r="J369" s="1">
        <v>3373.39</v>
      </c>
      <c r="K369">
        <v>0.02</v>
      </c>
      <c r="L369" s="1">
        <v>45729.43</v>
      </c>
      <c r="M369" s="1">
        <v>18565.86</v>
      </c>
      <c r="N369" s="1">
        <v>73.180000000000007</v>
      </c>
      <c r="O369" t="s">
        <v>43</v>
      </c>
      <c r="P369">
        <v>2</v>
      </c>
      <c r="Q369" t="b">
        <v>0</v>
      </c>
      <c r="R369" t="s">
        <v>18</v>
      </c>
      <c r="S369">
        <v>4</v>
      </c>
      <c r="T369" t="e">
        <f>IF(#REF!&lt;=25, "Young Age", IF(#REF!&lt;=40, "Mid Age", "Old Age"))</f>
        <v>#REF!</v>
      </c>
      <c r="U369" t="str">
        <f t="shared" si="5"/>
        <v>Okay</v>
      </c>
    </row>
    <row r="370" spans="1:21" x14ac:dyDescent="0.35">
      <c r="A370" t="s">
        <v>893</v>
      </c>
      <c r="B370" s="13">
        <v>45021</v>
      </c>
      <c r="C370" t="s">
        <v>894</v>
      </c>
      <c r="D370" t="s">
        <v>47</v>
      </c>
      <c r="E370" t="s">
        <v>14</v>
      </c>
      <c r="F370" t="s">
        <v>22</v>
      </c>
      <c r="G370" t="s">
        <v>6</v>
      </c>
      <c r="H370" t="s">
        <v>374</v>
      </c>
      <c r="I370">
        <v>9</v>
      </c>
      <c r="J370" s="1">
        <v>467.6</v>
      </c>
      <c r="K370">
        <v>0.02</v>
      </c>
      <c r="L370" s="1">
        <v>5992.24</v>
      </c>
      <c r="M370" s="1">
        <v>654.29</v>
      </c>
      <c r="N370" s="1">
        <v>37.130000000000003</v>
      </c>
      <c r="O370" t="s">
        <v>30</v>
      </c>
      <c r="P370">
        <v>4</v>
      </c>
      <c r="Q370" t="b">
        <v>0</v>
      </c>
      <c r="R370" t="s">
        <v>18</v>
      </c>
      <c r="S370">
        <v>7</v>
      </c>
      <c r="T370" t="e">
        <f>IF(#REF!&lt;=25, "Young Age", IF(#REF!&lt;=40, "Mid Age", "Old Age"))</f>
        <v>#REF!</v>
      </c>
      <c r="U370" t="str">
        <f t="shared" si="5"/>
        <v>Delayed</v>
      </c>
    </row>
    <row r="371" spans="1:21" x14ac:dyDescent="0.35">
      <c r="A371" t="s">
        <v>895</v>
      </c>
      <c r="B371" s="13">
        <v>44088</v>
      </c>
      <c r="C371" t="s">
        <v>896</v>
      </c>
      <c r="D371" t="s">
        <v>3</v>
      </c>
      <c r="E371" t="s">
        <v>61</v>
      </c>
      <c r="F371" t="s">
        <v>104</v>
      </c>
      <c r="G371" t="s">
        <v>23</v>
      </c>
      <c r="H371" t="s">
        <v>164</v>
      </c>
      <c r="I371">
        <v>7</v>
      </c>
      <c r="J371" s="1">
        <v>5932.53</v>
      </c>
      <c r="K371">
        <v>0.39</v>
      </c>
      <c r="L371" s="1">
        <v>23093.119999999999</v>
      </c>
      <c r="M371" s="1">
        <v>8164.97</v>
      </c>
      <c r="N371" s="1">
        <v>84.41</v>
      </c>
      <c r="O371" t="s">
        <v>57</v>
      </c>
      <c r="P371">
        <v>3</v>
      </c>
      <c r="Q371" t="b">
        <v>0</v>
      </c>
      <c r="R371" t="s">
        <v>18</v>
      </c>
      <c r="S371">
        <v>1</v>
      </c>
      <c r="T371" t="e">
        <f>IF(#REF!&lt;=25, "Young Age", IF(#REF!&lt;=40, "Mid Age", "Old Age"))</f>
        <v>#REF!</v>
      </c>
      <c r="U371" t="str">
        <f t="shared" si="5"/>
        <v>Okay</v>
      </c>
    </row>
    <row r="372" spans="1:21" x14ac:dyDescent="0.35">
      <c r="A372" t="s">
        <v>897</v>
      </c>
      <c r="B372" s="13">
        <v>45511</v>
      </c>
      <c r="C372" t="s">
        <v>898</v>
      </c>
      <c r="D372" t="s">
        <v>3</v>
      </c>
      <c r="E372" t="s">
        <v>14</v>
      </c>
      <c r="F372" t="s">
        <v>84</v>
      </c>
      <c r="G372" t="s">
        <v>55</v>
      </c>
      <c r="H372" t="s">
        <v>185</v>
      </c>
      <c r="J372" s="1">
        <v>545.99</v>
      </c>
      <c r="K372">
        <v>0.34</v>
      </c>
      <c r="L372" s="1">
        <v>578.97</v>
      </c>
      <c r="M372" s="1">
        <v>183.45</v>
      </c>
      <c r="N372" s="1">
        <v>68.2</v>
      </c>
      <c r="O372" t="s">
        <v>49</v>
      </c>
      <c r="P372">
        <v>1</v>
      </c>
      <c r="Q372" t="b">
        <v>0</v>
      </c>
      <c r="R372" t="s">
        <v>18</v>
      </c>
      <c r="S372">
        <v>9</v>
      </c>
      <c r="T372" t="e">
        <f>IF(#REF!&lt;=25, "Young Age", IF(#REF!&lt;=40, "Mid Age", "Old Age"))</f>
        <v>#REF!</v>
      </c>
      <c r="U372" t="str">
        <f t="shared" si="5"/>
        <v>Over Delayed</v>
      </c>
    </row>
    <row r="373" spans="1:21" x14ac:dyDescent="0.35">
      <c r="A373" t="s">
        <v>899</v>
      </c>
      <c r="B373" s="13">
        <v>44871</v>
      </c>
      <c r="C373" t="s">
        <v>900</v>
      </c>
      <c r="D373" t="s">
        <v>3</v>
      </c>
      <c r="E373" t="s">
        <v>53</v>
      </c>
      <c r="F373" t="s">
        <v>114</v>
      </c>
      <c r="G373" t="s">
        <v>6</v>
      </c>
      <c r="H373" t="s">
        <v>374</v>
      </c>
      <c r="I373">
        <v>8</v>
      </c>
      <c r="J373" s="1">
        <v>163.97</v>
      </c>
      <c r="K373">
        <v>0.16</v>
      </c>
      <c r="L373" s="1">
        <v>1055.3399999999999</v>
      </c>
      <c r="M373" s="1">
        <v>91.59</v>
      </c>
      <c r="N373" s="1">
        <v>24.74</v>
      </c>
      <c r="O373" t="s">
        <v>8</v>
      </c>
      <c r="P373">
        <v>4</v>
      </c>
      <c r="Q373" t="b">
        <v>0</v>
      </c>
      <c r="R373" t="s">
        <v>115</v>
      </c>
      <c r="S373">
        <v>8</v>
      </c>
      <c r="T373" t="e">
        <f>IF(#REF!&lt;=25, "Young Age", IF(#REF!&lt;=40, "Mid Age", "Old Age"))</f>
        <v>#REF!</v>
      </c>
      <c r="U373" t="str">
        <f t="shared" si="5"/>
        <v>Over Delayed</v>
      </c>
    </row>
    <row r="374" spans="1:21" x14ac:dyDescent="0.35">
      <c r="A374" t="s">
        <v>901</v>
      </c>
      <c r="B374" s="13">
        <v>44963</v>
      </c>
      <c r="C374" t="s">
        <v>902</v>
      </c>
      <c r="D374" t="s">
        <v>13</v>
      </c>
      <c r="E374" t="s">
        <v>89</v>
      </c>
      <c r="F374" t="s">
        <v>90</v>
      </c>
      <c r="G374" t="s">
        <v>41</v>
      </c>
      <c r="H374" t="s">
        <v>42</v>
      </c>
      <c r="I374">
        <v>10</v>
      </c>
      <c r="J374" s="1">
        <v>947.87</v>
      </c>
      <c r="K374">
        <v>0.24</v>
      </c>
      <c r="L374" s="1">
        <v>7234.13</v>
      </c>
      <c r="M374" s="1">
        <v>3527.5</v>
      </c>
      <c r="N374" s="1">
        <v>84.4</v>
      </c>
      <c r="O374" t="s">
        <v>49</v>
      </c>
      <c r="P374">
        <v>4</v>
      </c>
      <c r="Q374" t="b">
        <v>0</v>
      </c>
      <c r="R374" t="s">
        <v>18</v>
      </c>
      <c r="S374">
        <v>4</v>
      </c>
      <c r="T374" t="e">
        <f>IF(#REF!&lt;=25, "Young Age", IF(#REF!&lt;=40, "Mid Age", "Old Age"))</f>
        <v>#REF!</v>
      </c>
      <c r="U374" t="str">
        <f t="shared" si="5"/>
        <v>Okay</v>
      </c>
    </row>
    <row r="375" spans="1:21" x14ac:dyDescent="0.35">
      <c r="A375" t="s">
        <v>903</v>
      </c>
      <c r="B375" s="13">
        <v>44243</v>
      </c>
      <c r="C375" t="s">
        <v>904</v>
      </c>
      <c r="D375" t="s">
        <v>3</v>
      </c>
      <c r="E375" t="s">
        <v>53</v>
      </c>
      <c r="F375" t="s">
        <v>54</v>
      </c>
      <c r="G375" t="s">
        <v>105</v>
      </c>
      <c r="H375" t="s">
        <v>282</v>
      </c>
      <c r="I375">
        <v>3</v>
      </c>
      <c r="J375" s="1">
        <v>48921.59</v>
      </c>
      <c r="K375">
        <v>0.19</v>
      </c>
      <c r="L375" s="1">
        <v>107608.01</v>
      </c>
      <c r="M375" s="1">
        <v>16935.060000000001</v>
      </c>
      <c r="N375" s="1">
        <v>46.65</v>
      </c>
      <c r="O375" t="s">
        <v>49</v>
      </c>
      <c r="P375">
        <v>1</v>
      </c>
      <c r="Q375" t="b">
        <v>0</v>
      </c>
      <c r="R375" t="s">
        <v>18</v>
      </c>
      <c r="S375">
        <v>3</v>
      </c>
      <c r="T375" t="e">
        <f>IF(#REF!&lt;=25, "Young Age", IF(#REF!&lt;=40, "Mid Age", "Old Age"))</f>
        <v>#REF!</v>
      </c>
      <c r="U375" t="str">
        <f t="shared" si="5"/>
        <v>Okay</v>
      </c>
    </row>
    <row r="376" spans="1:21" x14ac:dyDescent="0.35">
      <c r="A376" t="s">
        <v>905</v>
      </c>
      <c r="B376" s="13">
        <v>45002</v>
      </c>
      <c r="C376" t="s">
        <v>906</v>
      </c>
      <c r="D376" t="s">
        <v>47</v>
      </c>
      <c r="E376" t="s">
        <v>14</v>
      </c>
      <c r="F376" t="s">
        <v>22</v>
      </c>
      <c r="G376" t="s">
        <v>16</v>
      </c>
      <c r="H376" t="s">
        <v>390</v>
      </c>
      <c r="I376">
        <v>2</v>
      </c>
      <c r="J376" s="1">
        <v>888.49</v>
      </c>
      <c r="K376">
        <v>0.08</v>
      </c>
      <c r="L376" s="1">
        <v>2115.7399999999998</v>
      </c>
      <c r="M376" s="1">
        <v>795.3</v>
      </c>
      <c r="N376" s="1">
        <v>42.25</v>
      </c>
      <c r="O376" t="s">
        <v>8</v>
      </c>
      <c r="P376">
        <v>1</v>
      </c>
      <c r="Q376" t="b">
        <v>0</v>
      </c>
      <c r="R376" t="s">
        <v>37</v>
      </c>
      <c r="S376">
        <v>8</v>
      </c>
      <c r="T376" t="e">
        <f>IF(#REF!&lt;=25, "Young Age", IF(#REF!&lt;=40, "Mid Age", "Old Age"))</f>
        <v>#REF!</v>
      </c>
      <c r="U376" t="str">
        <f t="shared" si="5"/>
        <v>Over Delayed</v>
      </c>
    </row>
    <row r="377" spans="1:21" x14ac:dyDescent="0.35">
      <c r="A377" t="s">
        <v>907</v>
      </c>
      <c r="B377" s="13">
        <v>44516</v>
      </c>
      <c r="C377" t="s">
        <v>908</v>
      </c>
      <c r="D377" t="s">
        <v>3</v>
      </c>
      <c r="E377" t="s">
        <v>53</v>
      </c>
      <c r="F377" t="s">
        <v>54</v>
      </c>
      <c r="G377" t="s">
        <v>6</v>
      </c>
      <c r="H377" t="s">
        <v>353</v>
      </c>
      <c r="I377">
        <v>1</v>
      </c>
      <c r="J377" s="1">
        <v>148.49</v>
      </c>
      <c r="K377">
        <v>0.12</v>
      </c>
      <c r="L377" s="1">
        <v>100.14</v>
      </c>
      <c r="M377" s="1">
        <v>7.46</v>
      </c>
      <c r="N377" s="1">
        <v>70.77</v>
      </c>
      <c r="O377" t="s">
        <v>49</v>
      </c>
      <c r="P377">
        <v>1</v>
      </c>
      <c r="Q377" t="b">
        <v>0</v>
      </c>
      <c r="R377" t="s">
        <v>18</v>
      </c>
      <c r="S377">
        <v>9</v>
      </c>
      <c r="T377" t="e">
        <f>IF(#REF!&lt;=25, "Young Age", IF(#REF!&lt;=40, "Mid Age", "Old Age"))</f>
        <v>#REF!</v>
      </c>
      <c r="U377" t="str">
        <f t="shared" si="5"/>
        <v>Over Delayed</v>
      </c>
    </row>
    <row r="378" spans="1:21" x14ac:dyDescent="0.35">
      <c r="A378" t="s">
        <v>909</v>
      </c>
      <c r="B378" s="13">
        <v>44098</v>
      </c>
      <c r="C378" t="s">
        <v>910</v>
      </c>
      <c r="D378" t="s">
        <v>47</v>
      </c>
      <c r="E378" t="s">
        <v>14</v>
      </c>
      <c r="F378" t="s">
        <v>22</v>
      </c>
      <c r="G378" t="s">
        <v>105</v>
      </c>
      <c r="H378" t="s">
        <v>106</v>
      </c>
      <c r="I378">
        <v>1</v>
      </c>
      <c r="J378" s="1">
        <v>38379.550000000003</v>
      </c>
      <c r="K378">
        <v>0.18</v>
      </c>
      <c r="L378" s="1">
        <v>33725.89</v>
      </c>
      <c r="M378" s="1">
        <v>4708.0600000000004</v>
      </c>
      <c r="N378" s="1">
        <v>49.85</v>
      </c>
      <c r="O378" t="s">
        <v>30</v>
      </c>
      <c r="P378">
        <v>2</v>
      </c>
      <c r="Q378" t="b">
        <v>0</v>
      </c>
      <c r="R378" t="s">
        <v>18</v>
      </c>
      <c r="S378" t="s">
        <v>2149</v>
      </c>
      <c r="T378" t="e">
        <f>IF(#REF!&lt;=25, "Young Age", IF(#REF!&lt;=40, "Mid Age", "Old Age"))</f>
        <v>#REF!</v>
      </c>
      <c r="U378" t="str">
        <f t="shared" si="5"/>
        <v>Over Delayed</v>
      </c>
    </row>
    <row r="379" spans="1:21" x14ac:dyDescent="0.35">
      <c r="A379" t="s">
        <v>911</v>
      </c>
      <c r="B379" s="13">
        <v>45626</v>
      </c>
      <c r="C379" t="s">
        <v>912</v>
      </c>
      <c r="D379" t="s">
        <v>47</v>
      </c>
      <c r="E379" t="s">
        <v>89</v>
      </c>
      <c r="F379" t="s">
        <v>119</v>
      </c>
      <c r="G379" t="s">
        <v>41</v>
      </c>
      <c r="H379" t="s">
        <v>42</v>
      </c>
      <c r="I379">
        <v>10</v>
      </c>
      <c r="J379" s="1">
        <v>1308.6300000000001</v>
      </c>
      <c r="K379">
        <v>0.39</v>
      </c>
      <c r="L379" s="1">
        <v>8038.79</v>
      </c>
      <c r="M379" s="1">
        <v>3691.88</v>
      </c>
      <c r="N379" s="1">
        <v>59.74</v>
      </c>
      <c r="O379" t="s">
        <v>30</v>
      </c>
      <c r="P379">
        <v>5</v>
      </c>
      <c r="Q379" t="b">
        <v>0</v>
      </c>
      <c r="R379" t="s">
        <v>18</v>
      </c>
      <c r="S379">
        <v>9</v>
      </c>
      <c r="T379" t="e">
        <f>IF(#REF!&lt;=25, "Young Age", IF(#REF!&lt;=40, "Mid Age", "Old Age"))</f>
        <v>#REF!</v>
      </c>
      <c r="U379" t="str">
        <f t="shared" si="5"/>
        <v>Over Delayed</v>
      </c>
    </row>
    <row r="380" spans="1:21" x14ac:dyDescent="0.35">
      <c r="A380" t="s">
        <v>913</v>
      </c>
      <c r="B380" s="13">
        <v>44411</v>
      </c>
      <c r="C380" t="s">
        <v>914</v>
      </c>
      <c r="D380" t="s">
        <v>3</v>
      </c>
      <c r="E380" t="s">
        <v>61</v>
      </c>
      <c r="F380" t="s">
        <v>222</v>
      </c>
      <c r="G380" t="s">
        <v>124</v>
      </c>
      <c r="H380" t="s">
        <v>254</v>
      </c>
      <c r="I380">
        <v>2</v>
      </c>
      <c r="J380" s="1">
        <v>8857.58</v>
      </c>
      <c r="K380">
        <v>0.05</v>
      </c>
      <c r="L380" s="1">
        <v>21239.19</v>
      </c>
      <c r="M380" s="1">
        <v>3446.13</v>
      </c>
      <c r="N380" s="1">
        <v>90.64</v>
      </c>
      <c r="O380" t="s">
        <v>36</v>
      </c>
      <c r="P380" t="s">
        <v>2149</v>
      </c>
      <c r="Q380" t="b">
        <v>1</v>
      </c>
      <c r="R380" t="s">
        <v>9</v>
      </c>
      <c r="S380">
        <v>8</v>
      </c>
      <c r="T380" t="e">
        <f>IF(#REF!&lt;=25, "Young Age", IF(#REF!&lt;=40, "Mid Age", "Old Age"))</f>
        <v>#REF!</v>
      </c>
      <c r="U380" t="str">
        <f t="shared" si="5"/>
        <v>Over Delayed</v>
      </c>
    </row>
    <row r="381" spans="1:21" x14ac:dyDescent="0.35">
      <c r="A381" t="s">
        <v>915</v>
      </c>
      <c r="B381" s="13">
        <v>44711</v>
      </c>
      <c r="C381" t="s">
        <v>916</v>
      </c>
      <c r="D381" t="s">
        <v>3</v>
      </c>
      <c r="E381" t="s">
        <v>89</v>
      </c>
      <c r="F381" t="s">
        <v>119</v>
      </c>
      <c r="G381" t="s">
        <v>124</v>
      </c>
      <c r="H381" t="s">
        <v>195</v>
      </c>
      <c r="I381">
        <v>10</v>
      </c>
      <c r="J381" s="1">
        <v>2313.34</v>
      </c>
      <c r="K381">
        <v>7.0000000000000007E-2</v>
      </c>
      <c r="L381" s="1">
        <v>26178.67</v>
      </c>
      <c r="M381" s="1">
        <v>6071.72</v>
      </c>
      <c r="N381" s="1">
        <v>54.61</v>
      </c>
      <c r="O381" t="s">
        <v>8</v>
      </c>
      <c r="P381">
        <v>1</v>
      </c>
      <c r="Q381" t="b">
        <v>1</v>
      </c>
      <c r="R381" t="s">
        <v>9</v>
      </c>
      <c r="S381">
        <v>3</v>
      </c>
      <c r="T381" t="e">
        <f>IF(#REF!&lt;=25, "Young Age", IF(#REF!&lt;=40, "Mid Age", "Old Age"))</f>
        <v>#REF!</v>
      </c>
      <c r="U381" t="str">
        <f t="shared" si="5"/>
        <v>Okay</v>
      </c>
    </row>
    <row r="382" spans="1:21" x14ac:dyDescent="0.35">
      <c r="A382" t="s">
        <v>917</v>
      </c>
      <c r="B382" s="13">
        <v>44998</v>
      </c>
      <c r="C382" t="s">
        <v>918</v>
      </c>
      <c r="D382" t="s">
        <v>13</v>
      </c>
      <c r="E382" t="s">
        <v>89</v>
      </c>
      <c r="F382" t="s">
        <v>299</v>
      </c>
      <c r="G382" t="s">
        <v>124</v>
      </c>
      <c r="H382" t="s">
        <v>254</v>
      </c>
      <c r="I382">
        <v>4</v>
      </c>
      <c r="J382" s="1">
        <v>7081.6</v>
      </c>
      <c r="K382">
        <v>0.31</v>
      </c>
      <c r="L382" s="1">
        <v>25039.19</v>
      </c>
      <c r="M382" s="1">
        <v>6611.41</v>
      </c>
      <c r="N382" s="1">
        <v>89.06</v>
      </c>
      <c r="O382" t="s">
        <v>8</v>
      </c>
      <c r="P382" t="s">
        <v>2149</v>
      </c>
      <c r="Q382" t="b">
        <v>1</v>
      </c>
      <c r="R382" t="s">
        <v>9</v>
      </c>
      <c r="S382">
        <v>10</v>
      </c>
      <c r="T382" t="e">
        <f>IF(#REF!&lt;=25, "Young Age", IF(#REF!&lt;=40, "Mid Age", "Old Age"))</f>
        <v>#REF!</v>
      </c>
      <c r="U382" t="str">
        <f t="shared" si="5"/>
        <v>Over Delayed</v>
      </c>
    </row>
    <row r="383" spans="1:21" x14ac:dyDescent="0.35">
      <c r="A383" t="s">
        <v>919</v>
      </c>
      <c r="B383" s="13">
        <v>44786</v>
      </c>
      <c r="C383" t="s">
        <v>920</v>
      </c>
      <c r="D383" t="s">
        <v>13</v>
      </c>
      <c r="E383" t="s">
        <v>53</v>
      </c>
      <c r="F383" t="s">
        <v>170</v>
      </c>
      <c r="G383" t="s">
        <v>55</v>
      </c>
      <c r="H383" t="s">
        <v>185</v>
      </c>
      <c r="I383">
        <v>8</v>
      </c>
      <c r="J383" s="1">
        <v>3588.17</v>
      </c>
      <c r="K383">
        <v>0.24</v>
      </c>
      <c r="L383" s="1">
        <v>31618.79</v>
      </c>
      <c r="M383" s="1">
        <v>13674.74</v>
      </c>
      <c r="N383" s="1">
        <v>86.78</v>
      </c>
      <c r="O383" t="s">
        <v>30</v>
      </c>
      <c r="P383">
        <v>1</v>
      </c>
      <c r="Q383" t="b">
        <v>0</v>
      </c>
      <c r="R383" t="s">
        <v>18</v>
      </c>
      <c r="S383">
        <v>7</v>
      </c>
      <c r="T383" t="e">
        <f>IF(#REF!&lt;=25, "Young Age", IF(#REF!&lt;=40, "Mid Age", "Old Age"))</f>
        <v>#REF!</v>
      </c>
      <c r="U383" t="str">
        <f t="shared" si="5"/>
        <v>Delayed</v>
      </c>
    </row>
    <row r="384" spans="1:21" x14ac:dyDescent="0.35">
      <c r="A384" t="s">
        <v>921</v>
      </c>
      <c r="B384" s="13">
        <v>45503</v>
      </c>
      <c r="C384" t="s">
        <v>922</v>
      </c>
      <c r="D384" t="s">
        <v>3</v>
      </c>
      <c r="E384" t="s">
        <v>14</v>
      </c>
      <c r="F384" t="s">
        <v>84</v>
      </c>
      <c r="G384" t="s">
        <v>55</v>
      </c>
      <c r="H384" t="s">
        <v>67</v>
      </c>
      <c r="I384">
        <v>4</v>
      </c>
      <c r="J384" s="1">
        <v>2461.65</v>
      </c>
      <c r="K384">
        <v>0.33</v>
      </c>
      <c r="L384" s="1">
        <v>9963.8700000000008</v>
      </c>
      <c r="M384" s="1">
        <v>2386.31</v>
      </c>
      <c r="N384" s="1">
        <v>85.19</v>
      </c>
      <c r="O384" t="s">
        <v>36</v>
      </c>
      <c r="P384">
        <v>4</v>
      </c>
      <c r="Q384" t="b">
        <v>0</v>
      </c>
      <c r="R384" t="s">
        <v>18</v>
      </c>
      <c r="S384">
        <v>1</v>
      </c>
      <c r="T384" t="e">
        <f>IF(#REF!&lt;=25, "Young Age", IF(#REF!&lt;=40, "Mid Age", "Old Age"))</f>
        <v>#REF!</v>
      </c>
      <c r="U384" t="str">
        <f t="shared" si="5"/>
        <v>Okay</v>
      </c>
    </row>
    <row r="385" spans="1:21" x14ac:dyDescent="0.35">
      <c r="A385" t="s">
        <v>923</v>
      </c>
      <c r="B385" s="13">
        <v>44118</v>
      </c>
      <c r="C385" t="s">
        <v>924</v>
      </c>
      <c r="D385" t="s">
        <v>3</v>
      </c>
      <c r="E385" t="s">
        <v>4</v>
      </c>
      <c r="F385" t="s">
        <v>48</v>
      </c>
      <c r="G385" t="s">
        <v>23</v>
      </c>
      <c r="H385" t="s">
        <v>29</v>
      </c>
      <c r="I385">
        <v>4</v>
      </c>
      <c r="J385" s="1">
        <v>22879.02</v>
      </c>
      <c r="K385">
        <v>0.1</v>
      </c>
      <c r="L385" s="1">
        <v>63905.82</v>
      </c>
      <c r="M385" s="1">
        <v>18612.63</v>
      </c>
      <c r="N385" s="1">
        <v>53.94</v>
      </c>
      <c r="O385" t="s">
        <v>43</v>
      </c>
      <c r="P385">
        <v>1</v>
      </c>
      <c r="Q385" t="b">
        <v>0</v>
      </c>
      <c r="R385" t="s">
        <v>63</v>
      </c>
      <c r="S385">
        <v>6</v>
      </c>
      <c r="T385" t="e">
        <f>IF(#REF!&lt;=25, "Young Age", IF(#REF!&lt;=40, "Mid Age", "Old Age"))</f>
        <v>#REF!</v>
      </c>
      <c r="U385" t="str">
        <f t="shared" si="5"/>
        <v>Delayed</v>
      </c>
    </row>
    <row r="386" spans="1:21" x14ac:dyDescent="0.35">
      <c r="A386" t="s">
        <v>925</v>
      </c>
      <c r="B386" s="13">
        <v>45095</v>
      </c>
      <c r="C386" t="s">
        <v>926</v>
      </c>
      <c r="D386" t="s">
        <v>13</v>
      </c>
      <c r="E386" t="s">
        <v>53</v>
      </c>
      <c r="F386" t="s">
        <v>79</v>
      </c>
      <c r="G386" t="s">
        <v>41</v>
      </c>
      <c r="H386" t="s">
        <v>85</v>
      </c>
      <c r="I386">
        <v>9</v>
      </c>
      <c r="J386" s="1">
        <v>916.14</v>
      </c>
      <c r="K386">
        <v>0.36</v>
      </c>
      <c r="L386" s="1">
        <v>8220.0400000000009</v>
      </c>
      <c r="M386" s="1">
        <v>2666.27</v>
      </c>
      <c r="N386" s="1">
        <v>63.91</v>
      </c>
      <c r="O386" t="s">
        <v>43</v>
      </c>
      <c r="P386">
        <v>4</v>
      </c>
      <c r="Q386" t="b">
        <v>0</v>
      </c>
      <c r="R386" t="s">
        <v>63</v>
      </c>
      <c r="S386">
        <v>7</v>
      </c>
      <c r="T386" t="e">
        <f>IF(#REF!&lt;=25, "Young Age", IF(#REF!&lt;=40, "Mid Age", "Old Age"))</f>
        <v>#REF!</v>
      </c>
      <c r="U386" t="str">
        <f t="shared" ref="U386:U449" si="6">IF(S386 &lt;=4, "Okay", IF(S386 &lt;=7, "Delayed", "Over Delayed"))</f>
        <v>Delayed</v>
      </c>
    </row>
    <row r="387" spans="1:21" x14ac:dyDescent="0.35">
      <c r="A387" t="s">
        <v>927</v>
      </c>
      <c r="B387" s="13">
        <v>44468</v>
      </c>
      <c r="C387" t="s">
        <v>928</v>
      </c>
      <c r="D387" t="s">
        <v>3</v>
      </c>
      <c r="E387" t="s">
        <v>89</v>
      </c>
      <c r="F387" t="s">
        <v>99</v>
      </c>
      <c r="G387" t="s">
        <v>23</v>
      </c>
      <c r="H387" t="s">
        <v>24</v>
      </c>
      <c r="I387">
        <v>6</v>
      </c>
      <c r="J387" s="1">
        <v>3717.72</v>
      </c>
      <c r="K387">
        <v>0.22</v>
      </c>
      <c r="L387" s="1">
        <v>17177.150000000001</v>
      </c>
      <c r="M387" s="1">
        <v>4949.58</v>
      </c>
      <c r="N387" s="1">
        <v>62.81</v>
      </c>
      <c r="O387" t="s">
        <v>36</v>
      </c>
      <c r="P387">
        <v>2</v>
      </c>
      <c r="Q387" t="b">
        <v>0</v>
      </c>
      <c r="R387" t="s">
        <v>18</v>
      </c>
      <c r="S387">
        <v>3</v>
      </c>
      <c r="T387" t="e">
        <f>IF(#REF!&lt;=25, "Young Age", IF(#REF!&lt;=40, "Mid Age", "Old Age"))</f>
        <v>#REF!</v>
      </c>
      <c r="U387" t="str">
        <f t="shared" si="6"/>
        <v>Okay</v>
      </c>
    </row>
    <row r="388" spans="1:21" x14ac:dyDescent="0.35">
      <c r="A388" t="s">
        <v>929</v>
      </c>
      <c r="B388" s="13">
        <v>45180</v>
      </c>
      <c r="C388" t="s">
        <v>930</v>
      </c>
      <c r="D388" t="s">
        <v>3</v>
      </c>
      <c r="E388" t="s">
        <v>89</v>
      </c>
      <c r="F388" t="s">
        <v>99</v>
      </c>
      <c r="G388" t="s">
        <v>124</v>
      </c>
      <c r="H388" t="s">
        <v>156</v>
      </c>
      <c r="I388">
        <v>7</v>
      </c>
      <c r="J388" s="1">
        <v>7005.09</v>
      </c>
      <c r="K388">
        <v>0</v>
      </c>
      <c r="L388" s="1">
        <v>55004.13</v>
      </c>
      <c r="M388" s="1">
        <v>13825.48</v>
      </c>
      <c r="N388" s="1">
        <v>39.04</v>
      </c>
      <c r="O388" t="s">
        <v>36</v>
      </c>
      <c r="P388">
        <v>3</v>
      </c>
      <c r="Q388" t="b">
        <v>0</v>
      </c>
      <c r="R388" t="s">
        <v>18</v>
      </c>
      <c r="S388">
        <v>3</v>
      </c>
      <c r="T388" t="e">
        <f>IF(#REF!&lt;=25, "Young Age", IF(#REF!&lt;=40, "Mid Age", "Old Age"))</f>
        <v>#REF!</v>
      </c>
      <c r="U388" t="str">
        <f t="shared" si="6"/>
        <v>Okay</v>
      </c>
    </row>
    <row r="389" spans="1:21" x14ac:dyDescent="0.35">
      <c r="A389" t="s">
        <v>931</v>
      </c>
      <c r="B389" s="13">
        <v>43941</v>
      </c>
      <c r="C389" t="s">
        <v>932</v>
      </c>
      <c r="D389" t="s">
        <v>13</v>
      </c>
      <c r="E389" t="s">
        <v>53</v>
      </c>
      <c r="F389" t="s">
        <v>79</v>
      </c>
      <c r="G389" t="s">
        <v>23</v>
      </c>
      <c r="H389" t="s">
        <v>24</v>
      </c>
      <c r="I389">
        <v>1</v>
      </c>
      <c r="J389" s="1">
        <v>6470.7</v>
      </c>
      <c r="K389">
        <v>0.34</v>
      </c>
      <c r="L389" s="1">
        <v>4394.74</v>
      </c>
      <c r="M389" s="1">
        <v>1235.03</v>
      </c>
      <c r="N389" s="1">
        <v>66.87</v>
      </c>
      <c r="O389" t="s">
        <v>36</v>
      </c>
      <c r="P389">
        <v>4</v>
      </c>
      <c r="Q389" t="b">
        <v>0</v>
      </c>
      <c r="R389" t="s">
        <v>18</v>
      </c>
      <c r="S389">
        <v>7</v>
      </c>
      <c r="T389" t="e">
        <f>IF(#REF!&lt;=25, "Young Age", IF(#REF!&lt;=40, "Mid Age", "Old Age"))</f>
        <v>#REF!</v>
      </c>
      <c r="U389" t="str">
        <f t="shared" si="6"/>
        <v>Delayed</v>
      </c>
    </row>
    <row r="390" spans="1:21" x14ac:dyDescent="0.35">
      <c r="A390" t="s">
        <v>933</v>
      </c>
      <c r="B390" s="13">
        <v>45131</v>
      </c>
      <c r="C390" t="s">
        <v>934</v>
      </c>
      <c r="D390" t="s">
        <v>47</v>
      </c>
      <c r="E390" t="s">
        <v>4</v>
      </c>
      <c r="F390" t="s">
        <v>5</v>
      </c>
      <c r="G390" t="s">
        <v>41</v>
      </c>
      <c r="H390" t="s">
        <v>85</v>
      </c>
      <c r="I390">
        <v>10</v>
      </c>
      <c r="J390" s="1">
        <v>680.67</v>
      </c>
      <c r="K390">
        <v>0.28000000000000003</v>
      </c>
      <c r="L390" s="1">
        <v>7920.13</v>
      </c>
      <c r="M390" s="1">
        <v>4381.82</v>
      </c>
      <c r="N390" s="1">
        <v>60.91</v>
      </c>
      <c r="O390" t="s">
        <v>49</v>
      </c>
      <c r="P390" t="s">
        <v>2149</v>
      </c>
      <c r="Q390" t="b">
        <v>0</v>
      </c>
      <c r="R390" t="s">
        <v>18</v>
      </c>
      <c r="S390">
        <v>4</v>
      </c>
      <c r="T390" t="e">
        <f>IF(#REF!&lt;=25, "Young Age", IF(#REF!&lt;=40, "Mid Age", "Old Age"))</f>
        <v>#REF!</v>
      </c>
      <c r="U390" t="str">
        <f t="shared" si="6"/>
        <v>Okay</v>
      </c>
    </row>
    <row r="391" spans="1:21" x14ac:dyDescent="0.35">
      <c r="A391" t="s">
        <v>935</v>
      </c>
      <c r="B391" s="13">
        <v>44464</v>
      </c>
      <c r="C391" t="s">
        <v>936</v>
      </c>
      <c r="D391" t="s">
        <v>47</v>
      </c>
      <c r="E391" t="s">
        <v>4</v>
      </c>
      <c r="F391" t="s">
        <v>5</v>
      </c>
      <c r="G391" t="s">
        <v>16</v>
      </c>
      <c r="H391" t="s">
        <v>209</v>
      </c>
      <c r="I391">
        <v>2</v>
      </c>
      <c r="J391" s="1">
        <v>1348.14</v>
      </c>
      <c r="K391">
        <v>0.25</v>
      </c>
      <c r="L391" s="1">
        <v>2363.6999999999998</v>
      </c>
      <c r="M391" s="1">
        <v>904.82</v>
      </c>
      <c r="N391" s="1">
        <v>48.59</v>
      </c>
      <c r="O391" t="s">
        <v>57</v>
      </c>
      <c r="P391">
        <v>2</v>
      </c>
      <c r="Q391" t="b">
        <v>0</v>
      </c>
      <c r="R391" t="s">
        <v>18</v>
      </c>
      <c r="S391">
        <v>5</v>
      </c>
      <c r="T391" t="e">
        <f>IF(#REF!&lt;=25, "Young Age", IF(#REF!&lt;=40, "Mid Age", "Old Age"))</f>
        <v>#REF!</v>
      </c>
      <c r="U391" t="str">
        <f t="shared" si="6"/>
        <v>Delayed</v>
      </c>
    </row>
    <row r="392" spans="1:21" x14ac:dyDescent="0.35">
      <c r="A392" t="s">
        <v>937</v>
      </c>
      <c r="B392" s="13">
        <v>44836</v>
      </c>
      <c r="C392" t="s">
        <v>938</v>
      </c>
      <c r="D392" t="s">
        <v>47</v>
      </c>
      <c r="E392" t="s">
        <v>89</v>
      </c>
      <c r="F392" t="s">
        <v>99</v>
      </c>
      <c r="G392" t="s">
        <v>55</v>
      </c>
      <c r="H392" t="s">
        <v>100</v>
      </c>
      <c r="I392">
        <v>10</v>
      </c>
      <c r="J392" s="1">
        <v>2259.7800000000002</v>
      </c>
      <c r="K392">
        <v>0.04</v>
      </c>
      <c r="L392" s="1">
        <v>20953.37</v>
      </c>
      <c r="M392" s="1">
        <v>7949.05</v>
      </c>
      <c r="N392" s="1">
        <v>52.93</v>
      </c>
      <c r="O392" t="s">
        <v>57</v>
      </c>
      <c r="P392">
        <v>5</v>
      </c>
      <c r="Q392" t="b">
        <v>0</v>
      </c>
      <c r="R392" t="s">
        <v>18</v>
      </c>
      <c r="S392">
        <v>7</v>
      </c>
      <c r="T392" t="e">
        <f>IF(#REF!&lt;=25, "Young Age", IF(#REF!&lt;=40, "Mid Age", "Old Age"))</f>
        <v>#REF!</v>
      </c>
      <c r="U392" t="str">
        <f t="shared" si="6"/>
        <v>Delayed</v>
      </c>
    </row>
    <row r="393" spans="1:21" x14ac:dyDescent="0.35">
      <c r="A393" t="s">
        <v>939</v>
      </c>
      <c r="B393" s="13">
        <v>44555</v>
      </c>
      <c r="C393" t="s">
        <v>624</v>
      </c>
      <c r="D393" t="s">
        <v>47</v>
      </c>
      <c r="E393" t="s">
        <v>53</v>
      </c>
      <c r="F393" t="s">
        <v>54</v>
      </c>
      <c r="G393" t="s">
        <v>16</v>
      </c>
      <c r="H393" t="s">
        <v>17</v>
      </c>
      <c r="I393">
        <v>1</v>
      </c>
      <c r="J393" s="1">
        <v>805.29</v>
      </c>
      <c r="K393">
        <v>0.36</v>
      </c>
      <c r="L393" s="1">
        <v>359.88</v>
      </c>
      <c r="M393" s="1">
        <v>172.3</v>
      </c>
      <c r="N393" s="1">
        <v>52.35</v>
      </c>
      <c r="O393" t="s">
        <v>36</v>
      </c>
      <c r="P393" t="s">
        <v>2149</v>
      </c>
      <c r="Q393" t="b">
        <v>0</v>
      </c>
      <c r="R393" t="s">
        <v>18</v>
      </c>
      <c r="S393">
        <v>6</v>
      </c>
      <c r="T393" t="e">
        <f>IF(#REF!&lt;=25, "Young Age", IF(#REF!&lt;=40, "Mid Age", "Old Age"))</f>
        <v>#REF!</v>
      </c>
      <c r="U393" t="str">
        <f t="shared" si="6"/>
        <v>Delayed</v>
      </c>
    </row>
    <row r="394" spans="1:21" x14ac:dyDescent="0.35">
      <c r="A394" t="s">
        <v>940</v>
      </c>
      <c r="B394" s="13">
        <v>44081</v>
      </c>
      <c r="C394" t="s">
        <v>941</v>
      </c>
      <c r="D394" t="s">
        <v>47</v>
      </c>
      <c r="E394" t="s">
        <v>89</v>
      </c>
      <c r="F394" t="s">
        <v>99</v>
      </c>
      <c r="G394" t="s">
        <v>41</v>
      </c>
      <c r="H394" t="s">
        <v>85</v>
      </c>
      <c r="I394">
        <v>6</v>
      </c>
      <c r="J394" s="1">
        <v>1105.96</v>
      </c>
      <c r="K394">
        <v>0.28999999999999998</v>
      </c>
      <c r="L394" s="1">
        <v>5241.79</v>
      </c>
      <c r="M394" s="1">
        <v>1716.01</v>
      </c>
      <c r="N394" s="1">
        <v>67.650000000000006</v>
      </c>
      <c r="O394" t="s">
        <v>8</v>
      </c>
      <c r="P394">
        <v>3</v>
      </c>
      <c r="Q394" t="b">
        <v>1</v>
      </c>
      <c r="R394" t="s">
        <v>9</v>
      </c>
      <c r="S394" t="s">
        <v>2149</v>
      </c>
      <c r="T394" t="e">
        <f>IF(#REF!&lt;=25, "Young Age", IF(#REF!&lt;=40, "Mid Age", "Old Age"))</f>
        <v>#REF!</v>
      </c>
      <c r="U394" t="str">
        <f t="shared" si="6"/>
        <v>Over Delayed</v>
      </c>
    </row>
    <row r="395" spans="1:21" x14ac:dyDescent="0.35">
      <c r="A395" t="s">
        <v>942</v>
      </c>
      <c r="B395" s="13">
        <v>44717</v>
      </c>
      <c r="C395" t="s">
        <v>943</v>
      </c>
      <c r="D395" t="s">
        <v>47</v>
      </c>
      <c r="E395" t="s">
        <v>14</v>
      </c>
      <c r="F395" t="s">
        <v>22</v>
      </c>
      <c r="G395" t="s">
        <v>16</v>
      </c>
      <c r="H395" t="s">
        <v>17</v>
      </c>
      <c r="I395">
        <v>8</v>
      </c>
      <c r="J395" s="1">
        <v>2364.86</v>
      </c>
      <c r="K395">
        <v>0.15</v>
      </c>
      <c r="L395" s="1">
        <v>20195.66</v>
      </c>
      <c r="M395" s="1">
        <v>11817.43</v>
      </c>
      <c r="N395" s="1">
        <v>58.27</v>
      </c>
      <c r="O395" t="s">
        <v>8</v>
      </c>
      <c r="P395">
        <v>5</v>
      </c>
      <c r="Q395" t="b">
        <v>0</v>
      </c>
      <c r="R395" t="s">
        <v>18</v>
      </c>
      <c r="S395">
        <v>5</v>
      </c>
      <c r="T395" t="e">
        <f>IF(#REF!&lt;=25, "Young Age", IF(#REF!&lt;=40, "Mid Age", "Old Age"))</f>
        <v>#REF!</v>
      </c>
      <c r="U395" t="str">
        <f t="shared" si="6"/>
        <v>Delayed</v>
      </c>
    </row>
    <row r="396" spans="1:21" x14ac:dyDescent="0.35">
      <c r="A396" t="s">
        <v>944</v>
      </c>
      <c r="B396" s="13">
        <v>43888</v>
      </c>
      <c r="C396" t="s">
        <v>945</v>
      </c>
      <c r="D396" t="s">
        <v>47</v>
      </c>
      <c r="E396" t="s">
        <v>61</v>
      </c>
      <c r="F396" t="s">
        <v>222</v>
      </c>
      <c r="G396" t="s">
        <v>124</v>
      </c>
      <c r="H396" t="s">
        <v>195</v>
      </c>
      <c r="I396">
        <v>1</v>
      </c>
      <c r="J396" s="1">
        <v>11227.96</v>
      </c>
      <c r="K396">
        <v>0.31</v>
      </c>
      <c r="L396" s="1">
        <v>6220.68</v>
      </c>
      <c r="M396" s="1">
        <v>1706.13</v>
      </c>
      <c r="N396" s="1">
        <v>87.6</v>
      </c>
      <c r="O396" t="s">
        <v>36</v>
      </c>
      <c r="P396">
        <v>2</v>
      </c>
      <c r="Q396" t="b">
        <v>0</v>
      </c>
      <c r="R396" t="s">
        <v>115</v>
      </c>
      <c r="S396">
        <v>3</v>
      </c>
      <c r="T396" t="e">
        <f>IF(#REF!&lt;=25, "Young Age", IF(#REF!&lt;=40, "Mid Age", "Old Age"))</f>
        <v>#REF!</v>
      </c>
      <c r="U396" t="str">
        <f t="shared" si="6"/>
        <v>Okay</v>
      </c>
    </row>
    <row r="397" spans="1:21" x14ac:dyDescent="0.35">
      <c r="A397" t="s">
        <v>946</v>
      </c>
      <c r="B397" s="13">
        <v>45143</v>
      </c>
      <c r="C397" t="s">
        <v>947</v>
      </c>
      <c r="D397" t="s">
        <v>3</v>
      </c>
      <c r="E397" t="s">
        <v>14</v>
      </c>
      <c r="F397" t="s">
        <v>28</v>
      </c>
      <c r="G397" t="s">
        <v>124</v>
      </c>
      <c r="H397" t="s">
        <v>195</v>
      </c>
      <c r="I397">
        <v>3</v>
      </c>
      <c r="J397" s="1">
        <v>6247.18</v>
      </c>
      <c r="K397">
        <v>0.23</v>
      </c>
      <c r="L397" s="1">
        <v>19652.060000000001</v>
      </c>
      <c r="M397" s="1">
        <v>5128.8900000000003</v>
      </c>
      <c r="N397" s="1">
        <v>52.48</v>
      </c>
      <c r="O397" t="s">
        <v>49</v>
      </c>
      <c r="P397">
        <v>4</v>
      </c>
      <c r="Q397" t="b">
        <v>0</v>
      </c>
      <c r="R397" t="s">
        <v>18</v>
      </c>
      <c r="S397">
        <v>7</v>
      </c>
      <c r="T397" t="e">
        <f>IF(#REF!&lt;=25, "Young Age", IF(#REF!&lt;=40, "Mid Age", "Old Age"))</f>
        <v>#REF!</v>
      </c>
      <c r="U397" t="str">
        <f t="shared" si="6"/>
        <v>Delayed</v>
      </c>
    </row>
    <row r="398" spans="1:21" x14ac:dyDescent="0.35">
      <c r="A398" t="s">
        <v>948</v>
      </c>
      <c r="B398" s="13">
        <v>45607</v>
      </c>
      <c r="C398" t="s">
        <v>949</v>
      </c>
      <c r="D398" t="s">
        <v>47</v>
      </c>
      <c r="E398" t="s">
        <v>89</v>
      </c>
      <c r="F398" t="s">
        <v>90</v>
      </c>
      <c r="G398" t="s">
        <v>23</v>
      </c>
      <c r="H398" t="s">
        <v>29</v>
      </c>
      <c r="I398">
        <v>2</v>
      </c>
      <c r="J398" s="1">
        <v>28947.69</v>
      </c>
      <c r="K398">
        <v>0.39</v>
      </c>
      <c r="L398" s="1">
        <v>35266.769999999997</v>
      </c>
      <c r="M398" s="1">
        <v>8167.38</v>
      </c>
      <c r="N398" s="1">
        <v>63.11</v>
      </c>
      <c r="O398" t="s">
        <v>57</v>
      </c>
      <c r="P398" t="s">
        <v>2149</v>
      </c>
      <c r="Q398" t="b">
        <v>0</v>
      </c>
      <c r="R398" t="s">
        <v>18</v>
      </c>
      <c r="S398">
        <v>1</v>
      </c>
      <c r="T398" t="e">
        <f>IF(#REF!&lt;=25, "Young Age", IF(#REF!&lt;=40, "Mid Age", "Old Age"))</f>
        <v>#REF!</v>
      </c>
      <c r="U398" t="str">
        <f t="shared" si="6"/>
        <v>Okay</v>
      </c>
    </row>
    <row r="399" spans="1:21" x14ac:dyDescent="0.35">
      <c r="A399" t="s">
        <v>950</v>
      </c>
      <c r="B399" s="13">
        <v>45164</v>
      </c>
      <c r="C399" t="s">
        <v>951</v>
      </c>
      <c r="D399" t="s">
        <v>3</v>
      </c>
      <c r="E399" t="s">
        <v>14</v>
      </c>
      <c r="F399" t="s">
        <v>15</v>
      </c>
      <c r="G399" t="s">
        <v>105</v>
      </c>
      <c r="H399" t="s">
        <v>120</v>
      </c>
      <c r="I399">
        <v>1</v>
      </c>
      <c r="J399" s="1">
        <v>41296.1</v>
      </c>
      <c r="K399">
        <v>7.0000000000000007E-2</v>
      </c>
      <c r="L399" s="1">
        <v>53611.5</v>
      </c>
      <c r="M399" s="1">
        <v>4184.2299999999996</v>
      </c>
      <c r="N399" s="1">
        <v>65.67</v>
      </c>
      <c r="O399" t="s">
        <v>49</v>
      </c>
      <c r="P399">
        <v>5</v>
      </c>
      <c r="Q399" t="b">
        <v>0</v>
      </c>
      <c r="R399" t="s">
        <v>18</v>
      </c>
      <c r="S399">
        <v>5</v>
      </c>
      <c r="T399" t="e">
        <f>IF(#REF!&lt;=25, "Young Age", IF(#REF!&lt;=40, "Mid Age", "Old Age"))</f>
        <v>#REF!</v>
      </c>
      <c r="U399" t="str">
        <f t="shared" si="6"/>
        <v>Delayed</v>
      </c>
    </row>
    <row r="400" spans="1:21" x14ac:dyDescent="0.35">
      <c r="A400" t="s">
        <v>952</v>
      </c>
      <c r="B400" s="13">
        <v>43956</v>
      </c>
      <c r="C400" t="s">
        <v>953</v>
      </c>
      <c r="D400" t="s">
        <v>47</v>
      </c>
      <c r="E400" t="s">
        <v>61</v>
      </c>
      <c r="F400" t="s">
        <v>62</v>
      </c>
      <c r="G400" t="s">
        <v>41</v>
      </c>
      <c r="H400" t="s">
        <v>85</v>
      </c>
      <c r="I400">
        <v>10</v>
      </c>
      <c r="J400" s="1">
        <v>1387.77</v>
      </c>
      <c r="K400">
        <v>0.03</v>
      </c>
      <c r="L400" s="1">
        <v>15244.18</v>
      </c>
      <c r="M400" s="1">
        <v>5378.75</v>
      </c>
      <c r="N400" s="1">
        <v>88.89</v>
      </c>
      <c r="O400" t="s">
        <v>36</v>
      </c>
      <c r="P400">
        <v>4</v>
      </c>
      <c r="Q400" t="b">
        <v>0</v>
      </c>
      <c r="R400" t="s">
        <v>18</v>
      </c>
      <c r="S400">
        <v>9</v>
      </c>
      <c r="T400" t="e">
        <f>IF(#REF!&lt;=25, "Young Age", IF(#REF!&lt;=40, "Mid Age", "Old Age"))</f>
        <v>#REF!</v>
      </c>
      <c r="U400" t="str">
        <f t="shared" si="6"/>
        <v>Over Delayed</v>
      </c>
    </row>
    <row r="401" spans="1:21" x14ac:dyDescent="0.35">
      <c r="A401" t="s">
        <v>954</v>
      </c>
      <c r="B401" s="13">
        <v>44636</v>
      </c>
      <c r="C401" t="s">
        <v>955</v>
      </c>
      <c r="D401" t="s">
        <v>47</v>
      </c>
      <c r="E401" t="s">
        <v>89</v>
      </c>
      <c r="F401" t="s">
        <v>299</v>
      </c>
      <c r="G401" t="s">
        <v>41</v>
      </c>
      <c r="H401" t="s">
        <v>129</v>
      </c>
      <c r="I401">
        <v>2</v>
      </c>
      <c r="J401" s="1">
        <v>1012.58</v>
      </c>
      <c r="K401">
        <v>0</v>
      </c>
      <c r="L401" s="1">
        <v>2058.59</v>
      </c>
      <c r="M401" s="1">
        <v>942.39</v>
      </c>
      <c r="N401" s="1">
        <v>79.239999999999995</v>
      </c>
      <c r="O401" t="s">
        <v>57</v>
      </c>
      <c r="P401">
        <v>5</v>
      </c>
      <c r="Q401" t="b">
        <v>0</v>
      </c>
      <c r="R401" t="s">
        <v>18</v>
      </c>
      <c r="S401" t="s">
        <v>2149</v>
      </c>
      <c r="T401" t="e">
        <f>IF(#REF!&lt;=25, "Young Age", IF(#REF!&lt;=40, "Mid Age", "Old Age"))</f>
        <v>#REF!</v>
      </c>
      <c r="U401" t="str">
        <f t="shared" si="6"/>
        <v>Over Delayed</v>
      </c>
    </row>
    <row r="402" spans="1:21" x14ac:dyDescent="0.35">
      <c r="A402" t="s">
        <v>956</v>
      </c>
      <c r="B402" s="13">
        <v>44557</v>
      </c>
      <c r="C402" t="s">
        <v>957</v>
      </c>
      <c r="D402" t="s">
        <v>13</v>
      </c>
      <c r="E402" t="s">
        <v>89</v>
      </c>
      <c r="F402" t="s">
        <v>90</v>
      </c>
      <c r="G402" t="s">
        <v>55</v>
      </c>
      <c r="H402" t="s">
        <v>110</v>
      </c>
      <c r="I402">
        <v>10</v>
      </c>
      <c r="J402" s="1">
        <v>593.54999999999995</v>
      </c>
      <c r="K402">
        <v>0.18</v>
      </c>
      <c r="L402" s="1">
        <v>3624.78</v>
      </c>
      <c r="M402" s="1">
        <v>896.12</v>
      </c>
      <c r="N402" s="1">
        <v>78</v>
      </c>
      <c r="O402" t="s">
        <v>8</v>
      </c>
      <c r="P402">
        <v>5</v>
      </c>
      <c r="Q402" t="b">
        <v>0</v>
      </c>
      <c r="R402" t="s">
        <v>18</v>
      </c>
      <c r="S402">
        <v>9</v>
      </c>
      <c r="T402" t="e">
        <f>IF(#REF!&lt;=25, "Young Age", IF(#REF!&lt;=40, "Mid Age", "Old Age"))</f>
        <v>#REF!</v>
      </c>
      <c r="U402" t="str">
        <f t="shared" si="6"/>
        <v>Over Delayed</v>
      </c>
    </row>
    <row r="403" spans="1:21" x14ac:dyDescent="0.35">
      <c r="A403" t="s">
        <v>958</v>
      </c>
      <c r="B403" s="13">
        <v>44819</v>
      </c>
      <c r="C403" t="s">
        <v>959</v>
      </c>
      <c r="D403" t="s">
        <v>47</v>
      </c>
      <c r="E403" t="s">
        <v>89</v>
      </c>
      <c r="F403" t="s">
        <v>119</v>
      </c>
      <c r="G403" t="s">
        <v>55</v>
      </c>
      <c r="H403" t="s">
        <v>91</v>
      </c>
      <c r="I403">
        <v>0</v>
      </c>
      <c r="J403" s="1">
        <v>803.12</v>
      </c>
      <c r="K403">
        <v>7.0000000000000007E-2</v>
      </c>
      <c r="L403" s="1">
        <v>911.76</v>
      </c>
      <c r="M403" s="1">
        <v>328.33</v>
      </c>
      <c r="N403" s="1">
        <v>73.010000000000005</v>
      </c>
      <c r="O403" t="s">
        <v>49</v>
      </c>
      <c r="P403">
        <v>3</v>
      </c>
      <c r="Q403" t="b">
        <v>0</v>
      </c>
      <c r="R403" t="s">
        <v>18</v>
      </c>
      <c r="S403">
        <v>7</v>
      </c>
      <c r="T403" t="e">
        <f>IF(#REF!&lt;=25, "Young Age", IF(#REF!&lt;=40, "Mid Age", "Old Age"))</f>
        <v>#REF!</v>
      </c>
      <c r="U403" t="str">
        <f t="shared" si="6"/>
        <v>Delayed</v>
      </c>
    </row>
    <row r="404" spans="1:21" x14ac:dyDescent="0.35">
      <c r="A404" t="s">
        <v>960</v>
      </c>
      <c r="B404" s="13">
        <v>45219</v>
      </c>
      <c r="C404" t="s">
        <v>961</v>
      </c>
      <c r="D404" t="s">
        <v>13</v>
      </c>
      <c r="E404" t="s">
        <v>53</v>
      </c>
      <c r="F404" t="s">
        <v>79</v>
      </c>
      <c r="G404" t="s">
        <v>16</v>
      </c>
      <c r="H404" t="s">
        <v>557</v>
      </c>
      <c r="I404">
        <v>3</v>
      </c>
      <c r="J404" s="1">
        <v>2099.98</v>
      </c>
      <c r="K404">
        <v>0.35</v>
      </c>
      <c r="L404" s="1">
        <v>4400.47</v>
      </c>
      <c r="M404" s="1">
        <v>2125.89</v>
      </c>
      <c r="N404" s="1">
        <v>50.77</v>
      </c>
      <c r="O404" t="s">
        <v>43</v>
      </c>
      <c r="P404" t="s">
        <v>2149</v>
      </c>
      <c r="Q404" t="b">
        <v>1</v>
      </c>
      <c r="R404" t="s">
        <v>9</v>
      </c>
      <c r="S404">
        <v>7</v>
      </c>
      <c r="T404" t="e">
        <f>IF(#REF!&lt;=25, "Young Age", IF(#REF!&lt;=40, "Mid Age", "Old Age"))</f>
        <v>#REF!</v>
      </c>
      <c r="U404" t="str">
        <f t="shared" si="6"/>
        <v>Delayed</v>
      </c>
    </row>
    <row r="405" spans="1:21" x14ac:dyDescent="0.35">
      <c r="A405" t="s">
        <v>962</v>
      </c>
      <c r="B405" s="13">
        <v>45118</v>
      </c>
      <c r="C405" t="s">
        <v>963</v>
      </c>
      <c r="D405" t="s">
        <v>13</v>
      </c>
      <c r="E405" t="s">
        <v>14</v>
      </c>
      <c r="F405" t="s">
        <v>84</v>
      </c>
      <c r="G405" t="s">
        <v>41</v>
      </c>
      <c r="H405" t="s">
        <v>244</v>
      </c>
      <c r="I405">
        <v>1</v>
      </c>
      <c r="J405" s="1">
        <v>623.96</v>
      </c>
      <c r="K405">
        <v>0.21</v>
      </c>
      <c r="L405" s="1">
        <v>778.16</v>
      </c>
      <c r="M405" s="1">
        <v>263.81</v>
      </c>
      <c r="N405" s="1">
        <v>68.14</v>
      </c>
      <c r="O405" t="s">
        <v>43</v>
      </c>
      <c r="P405">
        <v>3</v>
      </c>
      <c r="Q405" t="b">
        <v>0</v>
      </c>
      <c r="R405" t="s">
        <v>18</v>
      </c>
      <c r="S405">
        <v>6</v>
      </c>
      <c r="T405" t="e">
        <f>IF(#REF!&lt;=25, "Young Age", IF(#REF!&lt;=40, "Mid Age", "Old Age"))</f>
        <v>#REF!</v>
      </c>
      <c r="U405" t="str">
        <f t="shared" si="6"/>
        <v>Delayed</v>
      </c>
    </row>
    <row r="406" spans="1:21" x14ac:dyDescent="0.35">
      <c r="A406" t="s">
        <v>964</v>
      </c>
      <c r="B406" s="13">
        <v>45184</v>
      </c>
      <c r="C406" t="s">
        <v>965</v>
      </c>
      <c r="D406" t="s">
        <v>47</v>
      </c>
      <c r="E406" t="s">
        <v>53</v>
      </c>
      <c r="F406" t="s">
        <v>170</v>
      </c>
      <c r="G406" t="s">
        <v>6</v>
      </c>
      <c r="H406" t="s">
        <v>75</v>
      </c>
      <c r="I406">
        <v>1</v>
      </c>
      <c r="J406" s="1">
        <v>394.11</v>
      </c>
      <c r="K406">
        <v>0.22</v>
      </c>
      <c r="L406" s="1">
        <v>414.31</v>
      </c>
      <c r="M406" s="1">
        <v>32.520000000000003</v>
      </c>
      <c r="N406" s="1">
        <v>55.15</v>
      </c>
      <c r="O406" t="s">
        <v>57</v>
      </c>
      <c r="P406">
        <v>3</v>
      </c>
      <c r="Q406" t="b">
        <v>0</v>
      </c>
      <c r="R406" t="s">
        <v>18</v>
      </c>
      <c r="S406">
        <v>2</v>
      </c>
      <c r="T406" t="e">
        <f>IF(#REF!&lt;=25, "Young Age", IF(#REF!&lt;=40, "Mid Age", "Old Age"))</f>
        <v>#REF!</v>
      </c>
      <c r="U406" t="str">
        <f t="shared" si="6"/>
        <v>Okay</v>
      </c>
    </row>
    <row r="407" spans="1:21" x14ac:dyDescent="0.35">
      <c r="A407" t="s">
        <v>966</v>
      </c>
      <c r="B407" s="13">
        <v>44355</v>
      </c>
      <c r="C407" t="s">
        <v>967</v>
      </c>
      <c r="D407" t="s">
        <v>13</v>
      </c>
      <c r="E407" t="s">
        <v>89</v>
      </c>
      <c r="F407" t="s">
        <v>299</v>
      </c>
      <c r="G407" t="s">
        <v>23</v>
      </c>
      <c r="H407" t="s">
        <v>24</v>
      </c>
      <c r="I407">
        <v>5</v>
      </c>
      <c r="J407" s="1">
        <v>23260.25</v>
      </c>
      <c r="K407">
        <v>0.33</v>
      </c>
      <c r="L407" s="1">
        <v>119013.87</v>
      </c>
      <c r="M407" s="1">
        <v>32585.16</v>
      </c>
      <c r="N407" s="1">
        <v>74.55</v>
      </c>
      <c r="O407" t="s">
        <v>30</v>
      </c>
      <c r="P407">
        <v>5</v>
      </c>
      <c r="Q407" t="b">
        <v>0</v>
      </c>
      <c r="R407" t="s">
        <v>18</v>
      </c>
      <c r="S407">
        <v>9</v>
      </c>
      <c r="T407" t="e">
        <f>IF(#REF!&lt;=25, "Young Age", IF(#REF!&lt;=40, "Mid Age", "Old Age"))</f>
        <v>#REF!</v>
      </c>
      <c r="U407" t="str">
        <f t="shared" si="6"/>
        <v>Over Delayed</v>
      </c>
    </row>
    <row r="408" spans="1:21" x14ac:dyDescent="0.35">
      <c r="A408" t="s">
        <v>968</v>
      </c>
      <c r="B408" s="13">
        <v>44776</v>
      </c>
      <c r="C408" t="s">
        <v>969</v>
      </c>
      <c r="D408" t="s">
        <v>47</v>
      </c>
      <c r="E408" t="s">
        <v>53</v>
      </c>
      <c r="F408" t="s">
        <v>114</v>
      </c>
      <c r="G408" t="s">
        <v>55</v>
      </c>
      <c r="H408" t="s">
        <v>67</v>
      </c>
      <c r="I408">
        <v>1</v>
      </c>
      <c r="J408" s="1">
        <v>2503.3000000000002</v>
      </c>
      <c r="K408">
        <v>0.15</v>
      </c>
      <c r="L408" s="1">
        <v>2937.26</v>
      </c>
      <c r="M408" s="1">
        <v>723.88</v>
      </c>
      <c r="N408" s="1">
        <v>47.55</v>
      </c>
      <c r="O408" t="s">
        <v>30</v>
      </c>
      <c r="P408">
        <v>2</v>
      </c>
      <c r="Q408" t="b">
        <v>1</v>
      </c>
      <c r="R408" t="s">
        <v>9</v>
      </c>
      <c r="S408">
        <v>10</v>
      </c>
      <c r="T408" t="e">
        <f>IF(#REF!&lt;=25, "Young Age", IF(#REF!&lt;=40, "Mid Age", "Old Age"))</f>
        <v>#REF!</v>
      </c>
      <c r="U408" t="str">
        <f t="shared" si="6"/>
        <v>Over Delayed</v>
      </c>
    </row>
    <row r="409" spans="1:21" x14ac:dyDescent="0.35">
      <c r="A409" t="s">
        <v>970</v>
      </c>
      <c r="B409" s="13">
        <v>44814</v>
      </c>
      <c r="C409" t="s">
        <v>971</v>
      </c>
      <c r="D409" t="s">
        <v>3</v>
      </c>
      <c r="E409" t="s">
        <v>14</v>
      </c>
      <c r="F409" t="s">
        <v>22</v>
      </c>
      <c r="G409" t="s">
        <v>16</v>
      </c>
      <c r="H409" t="s">
        <v>80</v>
      </c>
      <c r="I409">
        <v>9</v>
      </c>
      <c r="J409" s="1">
        <v>1292.1600000000001</v>
      </c>
      <c r="K409">
        <v>0.22</v>
      </c>
      <c r="L409" s="1">
        <v>10154.82</v>
      </c>
      <c r="M409" s="1">
        <v>3046.85</v>
      </c>
      <c r="N409" s="1">
        <v>70.59</v>
      </c>
      <c r="O409" t="s">
        <v>49</v>
      </c>
      <c r="P409">
        <v>2</v>
      </c>
      <c r="Q409" t="b">
        <v>1</v>
      </c>
      <c r="R409" t="s">
        <v>9</v>
      </c>
      <c r="S409">
        <v>6</v>
      </c>
      <c r="T409" t="e">
        <f>IF(#REF!&lt;=25, "Young Age", IF(#REF!&lt;=40, "Mid Age", "Old Age"))</f>
        <v>#REF!</v>
      </c>
      <c r="U409" t="str">
        <f t="shared" si="6"/>
        <v>Delayed</v>
      </c>
    </row>
    <row r="410" spans="1:21" x14ac:dyDescent="0.35">
      <c r="A410" t="s">
        <v>972</v>
      </c>
      <c r="B410" s="13">
        <v>44444</v>
      </c>
      <c r="C410" t="s">
        <v>973</v>
      </c>
      <c r="D410" t="s">
        <v>47</v>
      </c>
      <c r="E410" t="s">
        <v>61</v>
      </c>
      <c r="F410" t="s">
        <v>222</v>
      </c>
      <c r="G410" t="s">
        <v>105</v>
      </c>
      <c r="H410" t="s">
        <v>174</v>
      </c>
      <c r="I410">
        <v>10</v>
      </c>
      <c r="J410" s="1">
        <v>55908.72</v>
      </c>
      <c r="K410">
        <v>0.11</v>
      </c>
      <c r="L410" s="1">
        <v>627898.81000000006</v>
      </c>
      <c r="M410" s="1">
        <v>86690.85</v>
      </c>
      <c r="N410" s="1">
        <v>75.650000000000006</v>
      </c>
      <c r="O410" t="s">
        <v>43</v>
      </c>
      <c r="P410">
        <v>5</v>
      </c>
      <c r="Q410" t="b">
        <v>0</v>
      </c>
      <c r="R410" t="s">
        <v>115</v>
      </c>
      <c r="S410">
        <v>4</v>
      </c>
      <c r="T410" t="e">
        <f>IF(#REF!&lt;=25, "Young Age", IF(#REF!&lt;=40, "Mid Age", "Old Age"))</f>
        <v>#REF!</v>
      </c>
      <c r="U410" t="str">
        <f t="shared" si="6"/>
        <v>Okay</v>
      </c>
    </row>
    <row r="411" spans="1:21" x14ac:dyDescent="0.35">
      <c r="A411" t="s">
        <v>974</v>
      </c>
      <c r="B411" s="13">
        <v>44622</v>
      </c>
      <c r="C411" t="s">
        <v>975</v>
      </c>
      <c r="D411" t="s">
        <v>47</v>
      </c>
      <c r="E411" t="s">
        <v>53</v>
      </c>
      <c r="F411" t="s">
        <v>170</v>
      </c>
      <c r="G411" t="s">
        <v>16</v>
      </c>
      <c r="H411" t="s">
        <v>209</v>
      </c>
      <c r="I411">
        <v>6</v>
      </c>
      <c r="J411" s="1">
        <v>583.99</v>
      </c>
      <c r="K411">
        <v>0.26</v>
      </c>
      <c r="L411" s="1">
        <v>2822.23</v>
      </c>
      <c r="M411" s="1">
        <v>1322.69</v>
      </c>
      <c r="N411" s="1">
        <v>22.05</v>
      </c>
      <c r="O411" t="s">
        <v>49</v>
      </c>
      <c r="P411">
        <v>4</v>
      </c>
      <c r="Q411" t="b">
        <v>0</v>
      </c>
      <c r="R411" t="s">
        <v>115</v>
      </c>
      <c r="S411">
        <v>6</v>
      </c>
      <c r="T411" t="e">
        <f>IF(#REF!&lt;=25, "Young Age", IF(#REF!&lt;=40, "Mid Age", "Old Age"))</f>
        <v>#REF!</v>
      </c>
      <c r="U411" t="str">
        <f t="shared" si="6"/>
        <v>Delayed</v>
      </c>
    </row>
    <row r="412" spans="1:21" x14ac:dyDescent="0.35">
      <c r="A412" t="s">
        <v>976</v>
      </c>
      <c r="B412" s="13">
        <v>45050</v>
      </c>
      <c r="C412" t="s">
        <v>977</v>
      </c>
      <c r="D412" t="s">
        <v>47</v>
      </c>
      <c r="E412" t="s">
        <v>89</v>
      </c>
      <c r="F412" t="s">
        <v>90</v>
      </c>
      <c r="G412" t="s">
        <v>55</v>
      </c>
      <c r="H412" t="s">
        <v>56</v>
      </c>
      <c r="I412">
        <v>2</v>
      </c>
      <c r="J412" s="1">
        <v>3236.58</v>
      </c>
      <c r="K412">
        <v>0.04</v>
      </c>
      <c r="L412" s="1">
        <v>9893.9699999999993</v>
      </c>
      <c r="M412" s="1">
        <v>3171.49</v>
      </c>
      <c r="N412" s="1">
        <v>71.87</v>
      </c>
      <c r="O412" t="s">
        <v>43</v>
      </c>
      <c r="P412">
        <v>1</v>
      </c>
      <c r="Q412" t="b">
        <v>0</v>
      </c>
      <c r="R412" t="s">
        <v>18</v>
      </c>
      <c r="S412">
        <v>9</v>
      </c>
      <c r="T412" t="e">
        <f>IF(#REF!&lt;=25, "Young Age", IF(#REF!&lt;=40, "Mid Age", "Old Age"))</f>
        <v>#REF!</v>
      </c>
      <c r="U412" t="str">
        <f t="shared" si="6"/>
        <v>Over Delayed</v>
      </c>
    </row>
    <row r="413" spans="1:21" x14ac:dyDescent="0.35">
      <c r="A413" t="s">
        <v>978</v>
      </c>
      <c r="B413" s="13">
        <v>45642</v>
      </c>
      <c r="C413" t="s">
        <v>979</v>
      </c>
      <c r="D413" t="s">
        <v>47</v>
      </c>
      <c r="E413" t="s">
        <v>89</v>
      </c>
      <c r="F413" t="s">
        <v>99</v>
      </c>
      <c r="G413" t="s">
        <v>124</v>
      </c>
      <c r="H413" t="s">
        <v>139</v>
      </c>
      <c r="I413">
        <v>9</v>
      </c>
      <c r="J413" s="1">
        <v>7976.73</v>
      </c>
      <c r="K413">
        <v>0</v>
      </c>
      <c r="L413" s="1">
        <v>57905.39</v>
      </c>
      <c r="M413" s="1">
        <v>13844.42</v>
      </c>
      <c r="N413" s="1">
        <v>69.849999999999994</v>
      </c>
      <c r="O413" t="s">
        <v>30</v>
      </c>
      <c r="P413">
        <v>1</v>
      </c>
      <c r="Q413" t="b">
        <v>0</v>
      </c>
      <c r="R413" t="s">
        <v>18</v>
      </c>
      <c r="S413">
        <v>8</v>
      </c>
      <c r="T413" t="e">
        <f>IF(#REF!&lt;=25, "Young Age", IF(#REF!&lt;=40, "Mid Age", "Old Age"))</f>
        <v>#REF!</v>
      </c>
      <c r="U413" t="str">
        <f t="shared" si="6"/>
        <v>Over Delayed</v>
      </c>
    </row>
    <row r="414" spans="1:21" x14ac:dyDescent="0.35">
      <c r="A414" t="s">
        <v>980</v>
      </c>
      <c r="B414" s="13">
        <v>43994</v>
      </c>
      <c r="C414" t="s">
        <v>981</v>
      </c>
      <c r="D414" t="s">
        <v>13</v>
      </c>
      <c r="E414" t="s">
        <v>53</v>
      </c>
      <c r="F414" t="s">
        <v>79</v>
      </c>
      <c r="G414" t="s">
        <v>55</v>
      </c>
      <c r="H414" t="s">
        <v>100</v>
      </c>
      <c r="I414">
        <v>10</v>
      </c>
      <c r="J414" s="1">
        <v>658.16</v>
      </c>
      <c r="K414">
        <v>0.25</v>
      </c>
      <c r="L414" s="1">
        <v>6367.6</v>
      </c>
      <c r="M414" s="1">
        <v>1841.64</v>
      </c>
      <c r="N414" s="1">
        <v>63.58</v>
      </c>
      <c r="O414" t="s">
        <v>43</v>
      </c>
      <c r="P414">
        <v>1</v>
      </c>
      <c r="Q414" t="b">
        <v>0</v>
      </c>
      <c r="R414" t="s">
        <v>18</v>
      </c>
      <c r="S414">
        <v>7</v>
      </c>
      <c r="T414" t="e">
        <f>IF(#REF!&lt;=25, "Young Age", IF(#REF!&lt;=40, "Mid Age", "Old Age"))</f>
        <v>#REF!</v>
      </c>
      <c r="U414" t="str">
        <f t="shared" si="6"/>
        <v>Delayed</v>
      </c>
    </row>
    <row r="415" spans="1:21" x14ac:dyDescent="0.35">
      <c r="A415" t="s">
        <v>982</v>
      </c>
      <c r="B415" s="13">
        <v>45530</v>
      </c>
      <c r="C415" t="s">
        <v>983</v>
      </c>
      <c r="D415" t="s">
        <v>47</v>
      </c>
      <c r="E415" t="s">
        <v>61</v>
      </c>
      <c r="F415" t="s">
        <v>222</v>
      </c>
      <c r="G415" t="s">
        <v>41</v>
      </c>
      <c r="H415" t="s">
        <v>129</v>
      </c>
      <c r="I415">
        <v>2</v>
      </c>
      <c r="J415" s="1">
        <v>1157.8900000000001</v>
      </c>
      <c r="K415">
        <v>0.35</v>
      </c>
      <c r="L415" s="1">
        <v>2443.04</v>
      </c>
      <c r="M415" s="1">
        <v>649.16</v>
      </c>
      <c r="N415" s="1">
        <v>56.27</v>
      </c>
      <c r="O415" t="s">
        <v>8</v>
      </c>
      <c r="P415">
        <v>1</v>
      </c>
      <c r="Q415" t="b">
        <v>0</v>
      </c>
      <c r="R415" t="s">
        <v>18</v>
      </c>
      <c r="S415">
        <v>9</v>
      </c>
      <c r="T415" t="e">
        <f>IF(#REF!&lt;=25, "Young Age", IF(#REF!&lt;=40, "Mid Age", "Old Age"))</f>
        <v>#REF!</v>
      </c>
      <c r="U415" t="str">
        <f t="shared" si="6"/>
        <v>Over Delayed</v>
      </c>
    </row>
    <row r="416" spans="1:21" x14ac:dyDescent="0.35">
      <c r="A416" t="s">
        <v>984</v>
      </c>
      <c r="B416" s="13">
        <v>44311</v>
      </c>
      <c r="C416" t="s">
        <v>985</v>
      </c>
      <c r="D416" t="s">
        <v>3</v>
      </c>
      <c r="E416" t="s">
        <v>89</v>
      </c>
      <c r="F416" t="s">
        <v>299</v>
      </c>
      <c r="G416" t="s">
        <v>105</v>
      </c>
      <c r="H416" t="s">
        <v>106</v>
      </c>
      <c r="I416">
        <v>8</v>
      </c>
      <c r="J416" s="1">
        <v>28211.93</v>
      </c>
      <c r="K416">
        <v>0.33</v>
      </c>
      <c r="L416" s="1">
        <v>175402.71</v>
      </c>
      <c r="M416" s="1">
        <v>20772.79</v>
      </c>
      <c r="N416" s="1">
        <v>61.29</v>
      </c>
      <c r="O416" t="s">
        <v>8</v>
      </c>
      <c r="P416">
        <v>5</v>
      </c>
      <c r="Q416" t="b">
        <v>0</v>
      </c>
      <c r="R416" t="s">
        <v>18</v>
      </c>
      <c r="S416">
        <v>4</v>
      </c>
      <c r="T416" t="e">
        <f>IF(#REF!&lt;=25, "Young Age", IF(#REF!&lt;=40, "Mid Age", "Old Age"))</f>
        <v>#REF!</v>
      </c>
      <c r="U416" t="str">
        <f t="shared" si="6"/>
        <v>Okay</v>
      </c>
    </row>
    <row r="417" spans="1:21" x14ac:dyDescent="0.35">
      <c r="A417" t="s">
        <v>986</v>
      </c>
      <c r="B417" s="13">
        <v>45556</v>
      </c>
      <c r="C417" t="s">
        <v>987</v>
      </c>
      <c r="D417" t="s">
        <v>13</v>
      </c>
      <c r="E417" t="s">
        <v>4</v>
      </c>
      <c r="F417" t="s">
        <v>5</v>
      </c>
      <c r="G417" t="s">
        <v>16</v>
      </c>
      <c r="H417" t="s">
        <v>17</v>
      </c>
      <c r="I417">
        <v>7</v>
      </c>
      <c r="J417" s="1">
        <v>2114.17</v>
      </c>
      <c r="K417">
        <v>0.39</v>
      </c>
      <c r="L417" s="1">
        <v>13036.59</v>
      </c>
      <c r="M417" s="1">
        <v>6081.67</v>
      </c>
      <c r="N417" s="1">
        <v>26.71</v>
      </c>
      <c r="O417" t="s">
        <v>8</v>
      </c>
      <c r="P417">
        <v>3</v>
      </c>
      <c r="Q417" t="b">
        <v>0</v>
      </c>
      <c r="R417" t="s">
        <v>175</v>
      </c>
      <c r="S417" t="s">
        <v>2149</v>
      </c>
      <c r="T417" t="e">
        <f>IF(#REF!&lt;=25, "Young Age", IF(#REF!&lt;=40, "Mid Age", "Old Age"))</f>
        <v>#REF!</v>
      </c>
      <c r="U417" t="str">
        <f t="shared" si="6"/>
        <v>Over Delayed</v>
      </c>
    </row>
    <row r="418" spans="1:21" x14ac:dyDescent="0.35">
      <c r="A418" t="s">
        <v>988</v>
      </c>
      <c r="B418" s="13">
        <v>45457</v>
      </c>
      <c r="C418" t="s">
        <v>989</v>
      </c>
      <c r="D418" t="s">
        <v>3</v>
      </c>
      <c r="E418" t="s">
        <v>14</v>
      </c>
      <c r="F418" t="s">
        <v>28</v>
      </c>
      <c r="G418" t="s">
        <v>55</v>
      </c>
      <c r="H418" t="s">
        <v>100</v>
      </c>
      <c r="I418">
        <v>1</v>
      </c>
      <c r="J418" s="1">
        <v>3581.25</v>
      </c>
      <c r="K418">
        <v>0.01</v>
      </c>
      <c r="L418" s="1">
        <v>6175.08</v>
      </c>
      <c r="M418" s="1">
        <v>1771.61</v>
      </c>
      <c r="N418" s="1">
        <v>56.33</v>
      </c>
      <c r="O418" t="s">
        <v>49</v>
      </c>
      <c r="P418">
        <v>1</v>
      </c>
      <c r="Q418" t="b">
        <v>0</v>
      </c>
      <c r="R418" t="s">
        <v>18</v>
      </c>
      <c r="S418" t="s">
        <v>2149</v>
      </c>
      <c r="T418" t="e">
        <f>IF(#REF!&lt;=25, "Young Age", IF(#REF!&lt;=40, "Mid Age", "Old Age"))</f>
        <v>#REF!</v>
      </c>
      <c r="U418" t="str">
        <f t="shared" si="6"/>
        <v>Over Delayed</v>
      </c>
    </row>
    <row r="419" spans="1:21" x14ac:dyDescent="0.35">
      <c r="A419" t="s">
        <v>990</v>
      </c>
      <c r="B419" s="13">
        <v>45178</v>
      </c>
      <c r="C419" t="s">
        <v>991</v>
      </c>
      <c r="D419" t="s">
        <v>3</v>
      </c>
      <c r="E419" t="s">
        <v>61</v>
      </c>
      <c r="F419" t="s">
        <v>271</v>
      </c>
      <c r="G419" t="s">
        <v>23</v>
      </c>
      <c r="H419" t="s">
        <v>199</v>
      </c>
      <c r="I419">
        <v>9</v>
      </c>
      <c r="J419" s="1">
        <v>24481.84</v>
      </c>
      <c r="K419">
        <v>0.18</v>
      </c>
      <c r="L419" s="1">
        <v>236017.16</v>
      </c>
      <c r="M419" s="1">
        <v>68746.179999999993</v>
      </c>
      <c r="N419" s="1">
        <v>92.95</v>
      </c>
      <c r="O419" t="s">
        <v>36</v>
      </c>
      <c r="P419">
        <v>3</v>
      </c>
      <c r="Q419" t="b">
        <v>0</v>
      </c>
      <c r="R419" t="s">
        <v>37</v>
      </c>
      <c r="S419">
        <v>10</v>
      </c>
      <c r="T419" t="e">
        <f>IF(#REF!&lt;=25, "Young Age", IF(#REF!&lt;=40, "Mid Age", "Old Age"))</f>
        <v>#REF!</v>
      </c>
      <c r="U419" t="str">
        <f t="shared" si="6"/>
        <v>Over Delayed</v>
      </c>
    </row>
    <row r="420" spans="1:21" x14ac:dyDescent="0.35">
      <c r="A420" t="s">
        <v>992</v>
      </c>
      <c r="B420" s="13">
        <v>44785</v>
      </c>
      <c r="C420" t="s">
        <v>993</v>
      </c>
      <c r="D420" t="s">
        <v>3</v>
      </c>
      <c r="E420" t="s">
        <v>53</v>
      </c>
      <c r="F420" t="s">
        <v>79</v>
      </c>
      <c r="G420" t="s">
        <v>124</v>
      </c>
      <c r="H420" t="s">
        <v>139</v>
      </c>
      <c r="I420">
        <v>7</v>
      </c>
      <c r="J420" s="1">
        <v>14759.38</v>
      </c>
      <c r="K420">
        <v>0</v>
      </c>
      <c r="L420" s="1">
        <v>128001.22</v>
      </c>
      <c r="M420" s="1">
        <v>25740.07</v>
      </c>
      <c r="N420" s="1">
        <v>70.7</v>
      </c>
      <c r="O420" t="s">
        <v>36</v>
      </c>
      <c r="P420">
        <v>3</v>
      </c>
      <c r="Q420" t="b">
        <v>0</v>
      </c>
      <c r="R420" t="s">
        <v>18</v>
      </c>
      <c r="S420">
        <v>7</v>
      </c>
      <c r="T420" t="e">
        <f>IF(#REF!&lt;=25, "Young Age", IF(#REF!&lt;=40, "Mid Age", "Old Age"))</f>
        <v>#REF!</v>
      </c>
      <c r="U420" t="str">
        <f t="shared" si="6"/>
        <v>Delayed</v>
      </c>
    </row>
    <row r="421" spans="1:21" x14ac:dyDescent="0.35">
      <c r="A421" t="s">
        <v>994</v>
      </c>
      <c r="B421" s="13">
        <v>44319</v>
      </c>
      <c r="C421" t="s">
        <v>995</v>
      </c>
      <c r="D421" t="s">
        <v>47</v>
      </c>
      <c r="E421" t="s">
        <v>61</v>
      </c>
      <c r="F421" t="s">
        <v>271</v>
      </c>
      <c r="G421" t="s">
        <v>16</v>
      </c>
      <c r="H421" t="s">
        <v>390</v>
      </c>
      <c r="I421">
        <v>2</v>
      </c>
      <c r="J421" s="1">
        <v>608.88</v>
      </c>
      <c r="K421">
        <v>0.23</v>
      </c>
      <c r="L421" s="1">
        <v>1272.71</v>
      </c>
      <c r="M421" s="1">
        <v>511.96</v>
      </c>
      <c r="N421" s="1">
        <v>106.95</v>
      </c>
      <c r="O421" t="s">
        <v>57</v>
      </c>
      <c r="P421">
        <v>4</v>
      </c>
      <c r="Q421" t="b">
        <v>1</v>
      </c>
      <c r="R421" t="s">
        <v>9</v>
      </c>
      <c r="S421">
        <v>4</v>
      </c>
      <c r="T421" t="e">
        <f>IF(#REF!&lt;=25, "Young Age", IF(#REF!&lt;=40, "Mid Age", "Old Age"))</f>
        <v>#REF!</v>
      </c>
      <c r="U421" t="str">
        <f t="shared" si="6"/>
        <v>Okay</v>
      </c>
    </row>
    <row r="422" spans="1:21" x14ac:dyDescent="0.35">
      <c r="A422" t="s">
        <v>996</v>
      </c>
      <c r="B422" s="13">
        <v>45391</v>
      </c>
      <c r="C422" t="s">
        <v>997</v>
      </c>
      <c r="D422" t="s">
        <v>3</v>
      </c>
      <c r="E422" t="s">
        <v>14</v>
      </c>
      <c r="F422" t="s">
        <v>22</v>
      </c>
      <c r="G422" t="s">
        <v>55</v>
      </c>
      <c r="H422" t="s">
        <v>110</v>
      </c>
      <c r="I422">
        <v>10</v>
      </c>
      <c r="J422" s="1">
        <v>1823.02</v>
      </c>
      <c r="K422">
        <v>0.19</v>
      </c>
      <c r="L422" s="1">
        <v>21680.07</v>
      </c>
      <c r="M422" s="1">
        <v>11667.37</v>
      </c>
      <c r="N422" s="1">
        <v>63.11</v>
      </c>
      <c r="O422" t="s">
        <v>57</v>
      </c>
      <c r="P422">
        <v>5</v>
      </c>
      <c r="Q422" t="b">
        <v>0</v>
      </c>
      <c r="R422" t="s">
        <v>18</v>
      </c>
      <c r="S422">
        <v>6</v>
      </c>
      <c r="T422" t="e">
        <f>IF(#REF!&lt;=25, "Young Age", IF(#REF!&lt;=40, "Mid Age", "Old Age"))</f>
        <v>#REF!</v>
      </c>
      <c r="U422" t="str">
        <f t="shared" si="6"/>
        <v>Delayed</v>
      </c>
    </row>
    <row r="423" spans="1:21" x14ac:dyDescent="0.35">
      <c r="A423" t="s">
        <v>998</v>
      </c>
      <c r="B423" s="13">
        <v>44999</v>
      </c>
      <c r="C423" t="s">
        <v>999</v>
      </c>
      <c r="D423" t="s">
        <v>3</v>
      </c>
      <c r="E423" t="s">
        <v>14</v>
      </c>
      <c r="F423" t="s">
        <v>84</v>
      </c>
      <c r="G423" t="s">
        <v>105</v>
      </c>
      <c r="H423" t="s">
        <v>120</v>
      </c>
      <c r="I423">
        <v>2</v>
      </c>
      <c r="J423" s="1">
        <v>76935.789999999994</v>
      </c>
      <c r="K423">
        <v>0.01</v>
      </c>
      <c r="L423" s="1">
        <v>171768.97</v>
      </c>
      <c r="M423" s="1">
        <v>27234.01</v>
      </c>
      <c r="N423" s="1">
        <v>63.96</v>
      </c>
      <c r="O423" t="s">
        <v>43</v>
      </c>
      <c r="P423">
        <v>1</v>
      </c>
      <c r="Q423" t="b">
        <v>0</v>
      </c>
      <c r="R423" t="s">
        <v>18</v>
      </c>
      <c r="S423">
        <v>3</v>
      </c>
      <c r="T423" t="e">
        <f>IF(#REF!&lt;=25, "Young Age", IF(#REF!&lt;=40, "Mid Age", "Old Age"))</f>
        <v>#REF!</v>
      </c>
      <c r="U423" t="str">
        <f t="shared" si="6"/>
        <v>Okay</v>
      </c>
    </row>
    <row r="424" spans="1:21" x14ac:dyDescent="0.35">
      <c r="A424" t="s">
        <v>1000</v>
      </c>
      <c r="B424" s="13" t="s">
        <v>1001</v>
      </c>
      <c r="C424" t="s">
        <v>1002</v>
      </c>
      <c r="D424" t="s">
        <v>3</v>
      </c>
      <c r="E424" t="s">
        <v>61</v>
      </c>
      <c r="F424" t="s">
        <v>271</v>
      </c>
      <c r="G424" t="s">
        <v>55</v>
      </c>
      <c r="H424" t="s">
        <v>185</v>
      </c>
      <c r="I424">
        <v>6</v>
      </c>
      <c r="J424" s="1">
        <v>2934.92</v>
      </c>
      <c r="K424">
        <v>0.1</v>
      </c>
      <c r="L424" s="1">
        <v>18790.52</v>
      </c>
      <c r="M424" s="1">
        <v>7715.18</v>
      </c>
      <c r="N424" s="1">
        <v>74.02</v>
      </c>
      <c r="O424" t="s">
        <v>8</v>
      </c>
      <c r="P424">
        <v>5</v>
      </c>
      <c r="Q424" t="b">
        <v>0</v>
      </c>
      <c r="R424" t="s">
        <v>63</v>
      </c>
      <c r="S424">
        <v>8</v>
      </c>
      <c r="T424" t="e">
        <f>IF(#REF!&lt;=25, "Young Age", IF(#REF!&lt;=40, "Mid Age", "Old Age"))</f>
        <v>#REF!</v>
      </c>
      <c r="U424" t="str">
        <f t="shared" si="6"/>
        <v>Over Delayed</v>
      </c>
    </row>
    <row r="425" spans="1:21" x14ac:dyDescent="0.35">
      <c r="A425" t="s">
        <v>1003</v>
      </c>
      <c r="B425" s="13">
        <v>44923</v>
      </c>
      <c r="C425" t="s">
        <v>1004</v>
      </c>
      <c r="D425" t="s">
        <v>13</v>
      </c>
      <c r="E425" t="s">
        <v>14</v>
      </c>
      <c r="F425" t="s">
        <v>84</v>
      </c>
      <c r="G425" t="s">
        <v>41</v>
      </c>
      <c r="H425" t="s">
        <v>477</v>
      </c>
      <c r="I425">
        <v>5</v>
      </c>
      <c r="J425" s="1">
        <v>1103.75</v>
      </c>
      <c r="K425">
        <v>0.25</v>
      </c>
      <c r="L425" s="1">
        <v>3579.91</v>
      </c>
      <c r="M425" s="1">
        <v>1891.54</v>
      </c>
      <c r="N425" s="1">
        <v>60.86</v>
      </c>
      <c r="O425" t="s">
        <v>43</v>
      </c>
      <c r="P425">
        <v>3</v>
      </c>
      <c r="Q425" t="b">
        <v>0</v>
      </c>
      <c r="R425" t="s">
        <v>63</v>
      </c>
      <c r="S425">
        <v>1</v>
      </c>
      <c r="T425" t="e">
        <f>IF(#REF!&lt;=25, "Young Age", IF(#REF!&lt;=40, "Mid Age", "Old Age"))</f>
        <v>#REF!</v>
      </c>
      <c r="U425" t="str">
        <f t="shared" si="6"/>
        <v>Okay</v>
      </c>
    </row>
    <row r="426" spans="1:21" x14ac:dyDescent="0.35">
      <c r="A426" t="s">
        <v>1005</v>
      </c>
      <c r="B426" s="13">
        <v>45015</v>
      </c>
      <c r="C426" t="s">
        <v>1006</v>
      </c>
      <c r="D426" t="s">
        <v>13</v>
      </c>
      <c r="E426" t="s">
        <v>89</v>
      </c>
      <c r="F426" t="s">
        <v>119</v>
      </c>
      <c r="G426" t="s">
        <v>23</v>
      </c>
      <c r="H426" t="s">
        <v>95</v>
      </c>
      <c r="I426">
        <v>1</v>
      </c>
      <c r="J426" s="1">
        <v>7329.9</v>
      </c>
      <c r="K426">
        <v>0.35</v>
      </c>
      <c r="L426" s="1">
        <v>6777.56</v>
      </c>
      <c r="M426" s="1">
        <v>2396.7199999999998</v>
      </c>
      <c r="N426" s="1">
        <v>101.29</v>
      </c>
      <c r="O426" t="s">
        <v>49</v>
      </c>
      <c r="P426">
        <v>5</v>
      </c>
      <c r="Q426" t="b">
        <v>0</v>
      </c>
      <c r="R426" t="s">
        <v>115</v>
      </c>
      <c r="S426">
        <v>10</v>
      </c>
      <c r="T426" t="e">
        <f>IF(#REF!&lt;=25, "Young Age", IF(#REF!&lt;=40, "Mid Age", "Old Age"))</f>
        <v>#REF!</v>
      </c>
      <c r="U426" t="str">
        <f t="shared" si="6"/>
        <v>Over Delayed</v>
      </c>
    </row>
    <row r="427" spans="1:21" x14ac:dyDescent="0.35">
      <c r="A427" t="s">
        <v>1007</v>
      </c>
      <c r="B427" s="13">
        <v>44613</v>
      </c>
      <c r="C427" t="s">
        <v>1008</v>
      </c>
      <c r="D427" t="s">
        <v>3</v>
      </c>
      <c r="E427" t="s">
        <v>4</v>
      </c>
      <c r="F427" t="s">
        <v>34</v>
      </c>
      <c r="G427" t="s">
        <v>41</v>
      </c>
      <c r="H427" t="s">
        <v>261</v>
      </c>
      <c r="I427">
        <v>4</v>
      </c>
      <c r="J427" s="1">
        <v>378.9</v>
      </c>
      <c r="K427">
        <v>0.39</v>
      </c>
      <c r="L427" s="1">
        <v>957.41</v>
      </c>
      <c r="M427" s="1">
        <v>235.48</v>
      </c>
      <c r="N427" s="1">
        <v>29.15</v>
      </c>
      <c r="O427" t="s">
        <v>49</v>
      </c>
      <c r="P427">
        <v>5</v>
      </c>
      <c r="Q427" t="b">
        <v>0</v>
      </c>
      <c r="R427" t="s">
        <v>18</v>
      </c>
      <c r="S427">
        <v>3</v>
      </c>
      <c r="T427" t="e">
        <f>IF(#REF!&lt;=25, "Young Age", IF(#REF!&lt;=40, "Mid Age", "Old Age"))</f>
        <v>#REF!</v>
      </c>
      <c r="U427" t="str">
        <f t="shared" si="6"/>
        <v>Okay</v>
      </c>
    </row>
    <row r="428" spans="1:21" x14ac:dyDescent="0.35">
      <c r="A428" t="s">
        <v>1009</v>
      </c>
      <c r="B428" s="13">
        <v>45003</v>
      </c>
      <c r="C428" t="s">
        <v>1010</v>
      </c>
      <c r="D428" t="s">
        <v>3</v>
      </c>
      <c r="E428" t="s">
        <v>4</v>
      </c>
      <c r="F428" t="s">
        <v>48</v>
      </c>
      <c r="G428" t="s">
        <v>41</v>
      </c>
      <c r="H428" t="s">
        <v>85</v>
      </c>
      <c r="I428">
        <v>4</v>
      </c>
      <c r="J428" s="1">
        <v>1221.1099999999999</v>
      </c>
      <c r="K428">
        <v>0.25</v>
      </c>
      <c r="L428" s="1">
        <v>5162.57</v>
      </c>
      <c r="M428" s="1">
        <v>1875.62</v>
      </c>
      <c r="N428" s="1">
        <v>43.22</v>
      </c>
      <c r="O428" t="s">
        <v>30</v>
      </c>
      <c r="P428">
        <v>5</v>
      </c>
      <c r="Q428" t="b">
        <v>0</v>
      </c>
      <c r="R428" t="s">
        <v>18</v>
      </c>
      <c r="S428">
        <v>5</v>
      </c>
      <c r="T428" t="e">
        <f>IF(#REF!&lt;=25, "Young Age", IF(#REF!&lt;=40, "Mid Age", "Old Age"))</f>
        <v>#REF!</v>
      </c>
      <c r="U428" t="str">
        <f t="shared" si="6"/>
        <v>Delayed</v>
      </c>
    </row>
    <row r="429" spans="1:21" x14ac:dyDescent="0.35">
      <c r="A429" t="s">
        <v>1011</v>
      </c>
      <c r="B429" s="13">
        <v>44135</v>
      </c>
      <c r="C429" t="s">
        <v>1012</v>
      </c>
      <c r="D429" t="s">
        <v>3</v>
      </c>
      <c r="E429" t="s">
        <v>14</v>
      </c>
      <c r="F429" t="s">
        <v>22</v>
      </c>
      <c r="G429" t="s">
        <v>6</v>
      </c>
      <c r="H429" t="s">
        <v>35</v>
      </c>
      <c r="I429">
        <v>8</v>
      </c>
      <c r="J429" s="1">
        <v>347.71</v>
      </c>
      <c r="K429">
        <v>0.08</v>
      </c>
      <c r="L429" s="1">
        <v>2265.2800000000002</v>
      </c>
      <c r="M429" s="1">
        <v>178.59</v>
      </c>
      <c r="N429" s="1">
        <v>64.88</v>
      </c>
      <c r="O429" t="s">
        <v>49</v>
      </c>
      <c r="P429">
        <v>5</v>
      </c>
      <c r="Q429" t="b">
        <v>0</v>
      </c>
      <c r="R429" t="s">
        <v>18</v>
      </c>
      <c r="S429">
        <v>9</v>
      </c>
      <c r="T429" t="e">
        <f>IF(#REF!&lt;=25, "Young Age", IF(#REF!&lt;=40, "Mid Age", "Old Age"))</f>
        <v>#REF!</v>
      </c>
      <c r="U429" t="str">
        <f t="shared" si="6"/>
        <v>Over Delayed</v>
      </c>
    </row>
    <row r="430" spans="1:21" x14ac:dyDescent="0.35">
      <c r="A430" t="s">
        <v>1013</v>
      </c>
      <c r="B430" s="13">
        <v>45527</v>
      </c>
      <c r="C430" t="s">
        <v>1014</v>
      </c>
      <c r="D430" t="s">
        <v>3</v>
      </c>
      <c r="E430" t="s">
        <v>89</v>
      </c>
      <c r="F430" t="s">
        <v>119</v>
      </c>
      <c r="G430" t="s">
        <v>124</v>
      </c>
      <c r="H430" t="s">
        <v>413</v>
      </c>
      <c r="I430">
        <v>6</v>
      </c>
      <c r="J430" s="1">
        <v>9574.41</v>
      </c>
      <c r="K430">
        <v>0.02</v>
      </c>
      <c r="L430" s="1">
        <v>81951.13</v>
      </c>
      <c r="M430" s="1">
        <v>15952.26</v>
      </c>
      <c r="N430" s="1">
        <v>75.33</v>
      </c>
      <c r="O430" t="s">
        <v>30</v>
      </c>
      <c r="P430">
        <v>4</v>
      </c>
      <c r="Q430" t="b">
        <v>0</v>
      </c>
      <c r="R430" t="s">
        <v>18</v>
      </c>
      <c r="S430">
        <v>6</v>
      </c>
      <c r="T430" t="e">
        <f>IF(#REF!&lt;=25, "Young Age", IF(#REF!&lt;=40, "Mid Age", "Old Age"))</f>
        <v>#REF!</v>
      </c>
      <c r="U430" t="str">
        <f t="shared" si="6"/>
        <v>Delayed</v>
      </c>
    </row>
    <row r="431" spans="1:21" x14ac:dyDescent="0.35">
      <c r="A431" t="s">
        <v>1015</v>
      </c>
      <c r="B431" s="13">
        <v>45574</v>
      </c>
      <c r="C431" t="s">
        <v>1016</v>
      </c>
      <c r="D431" t="s">
        <v>13</v>
      </c>
      <c r="E431" t="s">
        <v>89</v>
      </c>
      <c r="F431" t="s">
        <v>90</v>
      </c>
      <c r="G431" t="s">
        <v>41</v>
      </c>
      <c r="H431" t="s">
        <v>85</v>
      </c>
      <c r="I431">
        <v>8</v>
      </c>
      <c r="J431" s="1">
        <v>1268.46</v>
      </c>
      <c r="K431">
        <v>0.05</v>
      </c>
      <c r="L431" s="1">
        <v>12103.46</v>
      </c>
      <c r="M431" s="1">
        <v>3618.98</v>
      </c>
      <c r="N431" s="1">
        <v>30.55</v>
      </c>
      <c r="O431" t="s">
        <v>30</v>
      </c>
      <c r="P431">
        <v>2</v>
      </c>
      <c r="Q431" t="b">
        <v>0</v>
      </c>
      <c r="R431" t="s">
        <v>18</v>
      </c>
      <c r="S431">
        <v>10</v>
      </c>
      <c r="T431" t="e">
        <f>IF(#REF!&lt;=25, "Young Age", IF(#REF!&lt;=40, "Mid Age", "Old Age"))</f>
        <v>#REF!</v>
      </c>
      <c r="U431" t="str">
        <f t="shared" si="6"/>
        <v>Over Delayed</v>
      </c>
    </row>
    <row r="432" spans="1:21" x14ac:dyDescent="0.35">
      <c r="A432" t="s">
        <v>1017</v>
      </c>
      <c r="B432" s="13">
        <v>44597</v>
      </c>
      <c r="C432" t="s">
        <v>1018</v>
      </c>
      <c r="D432" t="s">
        <v>13</v>
      </c>
      <c r="E432" t="s">
        <v>14</v>
      </c>
      <c r="F432" t="s">
        <v>28</v>
      </c>
      <c r="G432" t="s">
        <v>124</v>
      </c>
      <c r="H432" t="s">
        <v>139</v>
      </c>
      <c r="I432">
        <v>8</v>
      </c>
      <c r="J432" s="1">
        <v>11620.56</v>
      </c>
      <c r="K432">
        <v>0.18</v>
      </c>
      <c r="L432" s="1">
        <v>89828.71</v>
      </c>
      <c r="M432" s="1">
        <v>25898.31</v>
      </c>
      <c r="N432" s="1">
        <v>50.64</v>
      </c>
      <c r="O432" t="s">
        <v>8</v>
      </c>
      <c r="P432">
        <v>4</v>
      </c>
      <c r="Q432" t="b">
        <v>0</v>
      </c>
      <c r="R432" t="s">
        <v>18</v>
      </c>
      <c r="S432">
        <v>2</v>
      </c>
      <c r="T432" t="e">
        <f>IF(#REF!&lt;=25, "Young Age", IF(#REF!&lt;=40, "Mid Age", "Old Age"))</f>
        <v>#REF!</v>
      </c>
      <c r="U432" t="str">
        <f t="shared" si="6"/>
        <v>Okay</v>
      </c>
    </row>
    <row r="433" spans="1:21" x14ac:dyDescent="0.35">
      <c r="A433" t="s">
        <v>1019</v>
      </c>
      <c r="B433" s="13">
        <v>45152</v>
      </c>
      <c r="C433" t="s">
        <v>1020</v>
      </c>
      <c r="D433" t="s">
        <v>47</v>
      </c>
      <c r="E433" t="s">
        <v>61</v>
      </c>
      <c r="F433" t="s">
        <v>62</v>
      </c>
      <c r="G433" t="s">
        <v>105</v>
      </c>
      <c r="H433" t="s">
        <v>438</v>
      </c>
      <c r="I433">
        <v>1</v>
      </c>
      <c r="J433" s="1">
        <v>34885.370000000003</v>
      </c>
      <c r="K433">
        <v>0.1</v>
      </c>
      <c r="L433" s="1">
        <v>44683.38</v>
      </c>
      <c r="M433" s="1">
        <v>3420.51</v>
      </c>
      <c r="N433" s="1">
        <v>85.38</v>
      </c>
      <c r="O433" t="s">
        <v>49</v>
      </c>
      <c r="P433">
        <v>4</v>
      </c>
      <c r="Q433" t="b">
        <v>0</v>
      </c>
      <c r="R433" t="s">
        <v>115</v>
      </c>
      <c r="S433">
        <v>3</v>
      </c>
      <c r="T433" t="e">
        <f>IF(#REF!&lt;=25, "Young Age", IF(#REF!&lt;=40, "Mid Age", "Old Age"))</f>
        <v>#REF!</v>
      </c>
      <c r="U433" t="str">
        <f t="shared" si="6"/>
        <v>Okay</v>
      </c>
    </row>
    <row r="434" spans="1:21" x14ac:dyDescent="0.35">
      <c r="A434" t="s">
        <v>1021</v>
      </c>
      <c r="B434" s="13">
        <v>45371</v>
      </c>
      <c r="C434" t="s">
        <v>1022</v>
      </c>
      <c r="D434" t="s">
        <v>3</v>
      </c>
      <c r="E434" t="s">
        <v>4</v>
      </c>
      <c r="F434" t="s">
        <v>34</v>
      </c>
      <c r="G434" t="s">
        <v>23</v>
      </c>
      <c r="H434" t="s">
        <v>29</v>
      </c>
      <c r="I434">
        <v>7</v>
      </c>
      <c r="J434" s="1">
        <v>28445.23</v>
      </c>
      <c r="K434">
        <v>0.28000000000000003</v>
      </c>
      <c r="L434" s="1">
        <v>189614.18</v>
      </c>
      <c r="M434" s="1">
        <v>42435.49</v>
      </c>
      <c r="N434" s="1">
        <v>18.04</v>
      </c>
      <c r="O434" t="s">
        <v>57</v>
      </c>
      <c r="P434">
        <v>2</v>
      </c>
      <c r="Q434" t="b">
        <v>0</v>
      </c>
      <c r="R434" t="s">
        <v>63</v>
      </c>
      <c r="S434">
        <v>10</v>
      </c>
      <c r="T434" t="e">
        <f>IF(#REF!&lt;=25, "Young Age", IF(#REF!&lt;=40, "Mid Age", "Old Age"))</f>
        <v>#REF!</v>
      </c>
      <c r="U434" t="str">
        <f t="shared" si="6"/>
        <v>Over Delayed</v>
      </c>
    </row>
    <row r="435" spans="1:21" x14ac:dyDescent="0.35">
      <c r="A435" t="s">
        <v>1023</v>
      </c>
      <c r="B435" s="13">
        <v>45046</v>
      </c>
      <c r="C435" t="s">
        <v>1024</v>
      </c>
      <c r="D435" t="s">
        <v>47</v>
      </c>
      <c r="E435" t="s">
        <v>14</v>
      </c>
      <c r="F435" t="s">
        <v>15</v>
      </c>
      <c r="G435" t="s">
        <v>105</v>
      </c>
      <c r="H435" t="s">
        <v>282</v>
      </c>
      <c r="I435">
        <v>6</v>
      </c>
      <c r="J435" s="1">
        <v>64360.23</v>
      </c>
      <c r="K435">
        <v>0.32</v>
      </c>
      <c r="L435" s="1">
        <v>385580.53</v>
      </c>
      <c r="M435" s="1">
        <v>28776.57</v>
      </c>
      <c r="N435" s="1">
        <v>55.31</v>
      </c>
      <c r="O435" t="s">
        <v>8</v>
      </c>
      <c r="P435">
        <v>1</v>
      </c>
      <c r="Q435" t="b">
        <v>0</v>
      </c>
      <c r="R435" t="s">
        <v>18</v>
      </c>
      <c r="S435">
        <v>1</v>
      </c>
      <c r="T435" t="e">
        <f>IF(#REF!&lt;=25, "Young Age", IF(#REF!&lt;=40, "Mid Age", "Old Age"))</f>
        <v>#REF!</v>
      </c>
      <c r="U435" t="str">
        <f t="shared" si="6"/>
        <v>Okay</v>
      </c>
    </row>
    <row r="436" spans="1:21" x14ac:dyDescent="0.35">
      <c r="A436" t="s">
        <v>1025</v>
      </c>
      <c r="B436" s="13">
        <v>45228</v>
      </c>
      <c r="C436" t="s">
        <v>1026</v>
      </c>
      <c r="D436" t="s">
        <v>13</v>
      </c>
      <c r="E436" t="s">
        <v>89</v>
      </c>
      <c r="F436" t="s">
        <v>299</v>
      </c>
      <c r="G436" t="s">
        <v>16</v>
      </c>
      <c r="H436" t="s">
        <v>17</v>
      </c>
      <c r="I436">
        <v>2</v>
      </c>
      <c r="J436" s="1">
        <v>1820.95</v>
      </c>
      <c r="K436">
        <v>0.15</v>
      </c>
      <c r="L436" s="1">
        <v>2961.7</v>
      </c>
      <c r="M436" s="1">
        <v>1317.61</v>
      </c>
      <c r="N436" s="1">
        <v>69.89</v>
      </c>
      <c r="O436" t="s">
        <v>36</v>
      </c>
      <c r="P436">
        <v>4</v>
      </c>
      <c r="Q436" t="b">
        <v>0</v>
      </c>
      <c r="R436" t="s">
        <v>18</v>
      </c>
      <c r="S436">
        <v>5</v>
      </c>
      <c r="T436" t="e">
        <f>IF(#REF!&lt;=25, "Young Age", IF(#REF!&lt;=40, "Mid Age", "Old Age"))</f>
        <v>#REF!</v>
      </c>
      <c r="U436" t="str">
        <f t="shared" si="6"/>
        <v>Delayed</v>
      </c>
    </row>
    <row r="437" spans="1:21" x14ac:dyDescent="0.35">
      <c r="A437" t="s">
        <v>1027</v>
      </c>
      <c r="B437" s="13">
        <v>44986</v>
      </c>
      <c r="C437" t="s">
        <v>1028</v>
      </c>
      <c r="D437" t="s">
        <v>47</v>
      </c>
      <c r="E437" t="s">
        <v>61</v>
      </c>
      <c r="F437" t="s">
        <v>222</v>
      </c>
      <c r="G437" t="s">
        <v>105</v>
      </c>
      <c r="H437" t="s">
        <v>120</v>
      </c>
      <c r="I437">
        <v>6</v>
      </c>
      <c r="J437" s="1">
        <v>78301.55</v>
      </c>
      <c r="K437">
        <v>0.24</v>
      </c>
      <c r="L437" s="1">
        <v>446345.61</v>
      </c>
      <c r="M437" s="1">
        <v>61437.599999999999</v>
      </c>
      <c r="N437" s="1">
        <v>87.28</v>
      </c>
      <c r="O437" t="s">
        <v>30</v>
      </c>
      <c r="P437">
        <v>4</v>
      </c>
      <c r="Q437" t="b">
        <v>0</v>
      </c>
      <c r="R437" t="s">
        <v>18</v>
      </c>
      <c r="S437">
        <v>7</v>
      </c>
      <c r="T437" t="e">
        <f>IF(#REF!&lt;=25, "Young Age", IF(#REF!&lt;=40, "Mid Age", "Old Age"))</f>
        <v>#REF!</v>
      </c>
      <c r="U437" t="str">
        <f t="shared" si="6"/>
        <v>Delayed</v>
      </c>
    </row>
    <row r="438" spans="1:21" x14ac:dyDescent="0.35">
      <c r="A438" t="s">
        <v>1029</v>
      </c>
      <c r="B438" s="13">
        <v>43932</v>
      </c>
      <c r="C438" t="s">
        <v>1030</v>
      </c>
      <c r="D438" t="s">
        <v>3</v>
      </c>
      <c r="E438" t="s">
        <v>4</v>
      </c>
      <c r="F438" t="s">
        <v>34</v>
      </c>
      <c r="G438" t="s">
        <v>16</v>
      </c>
      <c r="H438" t="s">
        <v>390</v>
      </c>
      <c r="I438">
        <v>4</v>
      </c>
      <c r="J438" s="1">
        <v>171.85</v>
      </c>
      <c r="K438">
        <v>0.03</v>
      </c>
      <c r="L438" s="1">
        <v>902.31</v>
      </c>
      <c r="M438" s="1">
        <v>591.14</v>
      </c>
      <c r="N438" s="1">
        <v>34.270000000000003</v>
      </c>
      <c r="O438" t="s">
        <v>8</v>
      </c>
      <c r="P438">
        <v>3</v>
      </c>
      <c r="Q438" t="b">
        <v>0</v>
      </c>
      <c r="R438" t="s">
        <v>115</v>
      </c>
      <c r="S438">
        <v>8</v>
      </c>
      <c r="T438" t="e">
        <f>IF(#REF!&lt;=25, "Young Age", IF(#REF!&lt;=40, "Mid Age", "Old Age"))</f>
        <v>#REF!</v>
      </c>
      <c r="U438" t="str">
        <f t="shared" si="6"/>
        <v>Over Delayed</v>
      </c>
    </row>
    <row r="439" spans="1:21" x14ac:dyDescent="0.35">
      <c r="A439" t="s">
        <v>1031</v>
      </c>
      <c r="B439" s="13">
        <v>44083</v>
      </c>
      <c r="C439" t="s">
        <v>1032</v>
      </c>
      <c r="D439" t="s">
        <v>3</v>
      </c>
      <c r="E439" t="s">
        <v>53</v>
      </c>
      <c r="F439" t="s">
        <v>54</v>
      </c>
      <c r="G439" t="s">
        <v>124</v>
      </c>
      <c r="H439" t="s">
        <v>125</v>
      </c>
      <c r="J439" s="1">
        <v>603.71</v>
      </c>
      <c r="K439">
        <v>0.39</v>
      </c>
      <c r="L439" s="1">
        <v>373.9</v>
      </c>
      <c r="M439" s="1">
        <v>76.010000000000005</v>
      </c>
      <c r="N439" s="1">
        <v>68.010000000000005</v>
      </c>
      <c r="O439" t="s">
        <v>36</v>
      </c>
      <c r="P439" t="s">
        <v>2149</v>
      </c>
      <c r="Q439" t="b">
        <v>0</v>
      </c>
      <c r="R439" t="s">
        <v>115</v>
      </c>
      <c r="S439">
        <v>9</v>
      </c>
      <c r="T439" t="e">
        <f>IF(#REF!&lt;=25, "Young Age", IF(#REF!&lt;=40, "Mid Age", "Old Age"))</f>
        <v>#REF!</v>
      </c>
      <c r="U439" t="str">
        <f t="shared" si="6"/>
        <v>Over Delayed</v>
      </c>
    </row>
    <row r="440" spans="1:21" x14ac:dyDescent="0.35">
      <c r="A440" t="s">
        <v>1033</v>
      </c>
      <c r="B440" s="13">
        <v>44356</v>
      </c>
      <c r="C440" t="s">
        <v>1034</v>
      </c>
      <c r="D440" t="s">
        <v>47</v>
      </c>
      <c r="E440" t="s">
        <v>61</v>
      </c>
      <c r="F440" t="s">
        <v>62</v>
      </c>
      <c r="G440" t="s">
        <v>6</v>
      </c>
      <c r="H440" t="s">
        <v>75</v>
      </c>
      <c r="I440">
        <v>6</v>
      </c>
      <c r="J440" s="1">
        <v>57.72</v>
      </c>
      <c r="K440">
        <v>0</v>
      </c>
      <c r="L440" s="1">
        <v>553.5</v>
      </c>
      <c r="M440" s="1">
        <v>48.28</v>
      </c>
      <c r="N440" s="1">
        <v>80.69</v>
      </c>
      <c r="O440" t="s">
        <v>30</v>
      </c>
      <c r="P440">
        <v>3</v>
      </c>
      <c r="Q440" t="b">
        <v>0</v>
      </c>
      <c r="R440" t="s">
        <v>115</v>
      </c>
      <c r="S440">
        <v>5</v>
      </c>
      <c r="T440" t="e">
        <f>IF(#REF!&lt;=25, "Young Age", IF(#REF!&lt;=40, "Mid Age", "Old Age"))</f>
        <v>#REF!</v>
      </c>
      <c r="U440" t="str">
        <f t="shared" si="6"/>
        <v>Delayed</v>
      </c>
    </row>
    <row r="441" spans="1:21" x14ac:dyDescent="0.35">
      <c r="A441" t="s">
        <v>1035</v>
      </c>
      <c r="B441" s="13">
        <v>44062</v>
      </c>
      <c r="C441" t="s">
        <v>1036</v>
      </c>
      <c r="D441" t="s">
        <v>47</v>
      </c>
      <c r="E441" t="s">
        <v>89</v>
      </c>
      <c r="F441" t="s">
        <v>299</v>
      </c>
      <c r="G441" t="s">
        <v>23</v>
      </c>
      <c r="H441" t="s">
        <v>199</v>
      </c>
      <c r="I441">
        <v>3</v>
      </c>
      <c r="J441" s="1">
        <v>28093.41</v>
      </c>
      <c r="K441">
        <v>0.11</v>
      </c>
      <c r="L441" s="1">
        <v>80865.399999999994</v>
      </c>
      <c r="M441" s="1">
        <v>14166.32</v>
      </c>
      <c r="N441" s="1">
        <v>69.8</v>
      </c>
      <c r="O441" t="s">
        <v>36</v>
      </c>
      <c r="P441">
        <v>3</v>
      </c>
      <c r="Q441" t="b">
        <v>1</v>
      </c>
      <c r="R441" t="s">
        <v>9</v>
      </c>
      <c r="S441">
        <v>3</v>
      </c>
      <c r="T441" t="e">
        <f>IF(#REF!&lt;=25, "Young Age", IF(#REF!&lt;=40, "Mid Age", "Old Age"))</f>
        <v>#REF!</v>
      </c>
      <c r="U441" t="str">
        <f t="shared" si="6"/>
        <v>Okay</v>
      </c>
    </row>
    <row r="442" spans="1:21" x14ac:dyDescent="0.35">
      <c r="A442" t="s">
        <v>1037</v>
      </c>
      <c r="B442" s="13">
        <v>45482</v>
      </c>
      <c r="C442" t="s">
        <v>1038</v>
      </c>
      <c r="D442" t="s">
        <v>13</v>
      </c>
      <c r="E442" t="s">
        <v>53</v>
      </c>
      <c r="F442" t="s">
        <v>170</v>
      </c>
      <c r="G442" t="s">
        <v>105</v>
      </c>
      <c r="H442" t="s">
        <v>120</v>
      </c>
      <c r="I442">
        <v>3</v>
      </c>
      <c r="J442" s="1">
        <v>39483.93</v>
      </c>
      <c r="K442">
        <v>0.01</v>
      </c>
      <c r="L442" s="1">
        <v>188221.16</v>
      </c>
      <c r="M442" s="1">
        <v>17116.650000000001</v>
      </c>
      <c r="N442" s="1">
        <v>68.56</v>
      </c>
      <c r="O442" t="s">
        <v>57</v>
      </c>
      <c r="P442">
        <v>3</v>
      </c>
      <c r="Q442" t="b">
        <v>1</v>
      </c>
      <c r="R442" t="s">
        <v>9</v>
      </c>
      <c r="S442">
        <v>2</v>
      </c>
      <c r="T442" t="e">
        <f>IF(#REF!&lt;=25, "Young Age", IF(#REF!&lt;=40, "Mid Age", "Old Age"))</f>
        <v>#REF!</v>
      </c>
      <c r="U442" t="str">
        <f t="shared" si="6"/>
        <v>Okay</v>
      </c>
    </row>
    <row r="443" spans="1:21" x14ac:dyDescent="0.35">
      <c r="A443" t="s">
        <v>1039</v>
      </c>
      <c r="B443" s="13">
        <v>45642</v>
      </c>
      <c r="C443" t="s">
        <v>1040</v>
      </c>
      <c r="D443" t="s">
        <v>13</v>
      </c>
      <c r="E443" t="s">
        <v>61</v>
      </c>
      <c r="F443" t="s">
        <v>271</v>
      </c>
      <c r="G443" t="s">
        <v>55</v>
      </c>
      <c r="H443" t="s">
        <v>185</v>
      </c>
      <c r="I443">
        <v>4</v>
      </c>
      <c r="J443" s="1">
        <v>1999.6</v>
      </c>
      <c r="K443">
        <v>0.4</v>
      </c>
      <c r="L443" s="1">
        <v>4690.45</v>
      </c>
      <c r="M443" s="1">
        <v>1146.5999999999999</v>
      </c>
      <c r="N443" s="1">
        <v>66.84</v>
      </c>
      <c r="O443" t="s">
        <v>36</v>
      </c>
      <c r="P443" t="s">
        <v>2149</v>
      </c>
      <c r="Q443" t="b">
        <v>0</v>
      </c>
      <c r="R443" t="s">
        <v>18</v>
      </c>
      <c r="S443" t="s">
        <v>2149</v>
      </c>
      <c r="T443" t="e">
        <f>IF(#REF!&lt;=25, "Young Age", IF(#REF!&lt;=40, "Mid Age", "Old Age"))</f>
        <v>#REF!</v>
      </c>
      <c r="U443" t="str">
        <f t="shared" si="6"/>
        <v>Over Delayed</v>
      </c>
    </row>
    <row r="444" spans="1:21" x14ac:dyDescent="0.35">
      <c r="A444" t="s">
        <v>1041</v>
      </c>
      <c r="B444" s="13">
        <v>45211</v>
      </c>
      <c r="C444" t="s">
        <v>1042</v>
      </c>
      <c r="D444" t="s">
        <v>13</v>
      </c>
      <c r="E444" t="s">
        <v>53</v>
      </c>
      <c r="F444" t="s">
        <v>79</v>
      </c>
      <c r="G444" t="s">
        <v>6</v>
      </c>
      <c r="H444" t="s">
        <v>35</v>
      </c>
      <c r="I444">
        <v>9</v>
      </c>
      <c r="J444" s="1">
        <v>407.05</v>
      </c>
      <c r="K444">
        <v>0.3</v>
      </c>
      <c r="L444" s="1">
        <v>1997.66</v>
      </c>
      <c r="M444" s="1">
        <v>139.6</v>
      </c>
      <c r="N444" s="1">
        <v>72.88</v>
      </c>
      <c r="O444" t="s">
        <v>36</v>
      </c>
      <c r="P444">
        <v>4</v>
      </c>
      <c r="Q444" t="b">
        <v>0</v>
      </c>
      <c r="R444" t="s">
        <v>63</v>
      </c>
      <c r="S444">
        <v>6</v>
      </c>
      <c r="T444" t="e">
        <f>IF(#REF!&lt;=25, "Young Age", IF(#REF!&lt;=40, "Mid Age", "Old Age"))</f>
        <v>#REF!</v>
      </c>
      <c r="U444" t="str">
        <f t="shared" si="6"/>
        <v>Delayed</v>
      </c>
    </row>
    <row r="445" spans="1:21" x14ac:dyDescent="0.35">
      <c r="A445" t="s">
        <v>1043</v>
      </c>
      <c r="B445" s="13">
        <v>45520</v>
      </c>
      <c r="C445" t="s">
        <v>1044</v>
      </c>
      <c r="D445" t="s">
        <v>47</v>
      </c>
      <c r="E445" t="s">
        <v>4</v>
      </c>
      <c r="F445" t="s">
        <v>34</v>
      </c>
      <c r="G445" t="s">
        <v>124</v>
      </c>
      <c r="H445" t="s">
        <v>413</v>
      </c>
      <c r="I445">
        <v>9</v>
      </c>
      <c r="J445" s="1">
        <v>3110.88</v>
      </c>
      <c r="K445">
        <v>0.28000000000000003</v>
      </c>
      <c r="L445" s="1">
        <v>29090.53</v>
      </c>
      <c r="M445" s="1">
        <v>4498.07</v>
      </c>
      <c r="N445" s="1">
        <v>43.42</v>
      </c>
      <c r="O445" t="s">
        <v>30</v>
      </c>
      <c r="P445">
        <v>2</v>
      </c>
      <c r="Q445" t="b">
        <v>0</v>
      </c>
      <c r="R445" t="s">
        <v>18</v>
      </c>
      <c r="S445">
        <v>8</v>
      </c>
      <c r="T445" t="e">
        <f>IF(#REF!&lt;=25, "Young Age", IF(#REF!&lt;=40, "Mid Age", "Old Age"))</f>
        <v>#REF!</v>
      </c>
      <c r="U445" t="str">
        <f t="shared" si="6"/>
        <v>Over Delayed</v>
      </c>
    </row>
    <row r="446" spans="1:21" x14ac:dyDescent="0.35">
      <c r="A446" t="s">
        <v>1045</v>
      </c>
      <c r="B446" s="13">
        <v>44966</v>
      </c>
      <c r="C446" t="s">
        <v>1046</v>
      </c>
      <c r="D446" t="s">
        <v>13</v>
      </c>
      <c r="E446" t="s">
        <v>53</v>
      </c>
      <c r="F446" t="s">
        <v>114</v>
      </c>
      <c r="G446" t="s">
        <v>124</v>
      </c>
      <c r="H446" t="s">
        <v>413</v>
      </c>
      <c r="I446">
        <v>1</v>
      </c>
      <c r="J446" s="1">
        <v>12495.08</v>
      </c>
      <c r="K446">
        <v>0.27</v>
      </c>
      <c r="L446" s="1">
        <v>9249.06</v>
      </c>
      <c r="M446" s="1">
        <v>1686.4</v>
      </c>
      <c r="N446" s="1">
        <v>55.06</v>
      </c>
      <c r="O446" t="s">
        <v>49</v>
      </c>
      <c r="P446">
        <v>5</v>
      </c>
      <c r="Q446" t="b">
        <v>0</v>
      </c>
      <c r="R446" t="s">
        <v>18</v>
      </c>
      <c r="S446">
        <v>9</v>
      </c>
      <c r="T446" t="e">
        <f>IF(#REF!&lt;=25, "Young Age", IF(#REF!&lt;=40, "Mid Age", "Old Age"))</f>
        <v>#REF!</v>
      </c>
      <c r="U446" t="str">
        <f t="shared" si="6"/>
        <v>Over Delayed</v>
      </c>
    </row>
    <row r="447" spans="1:21" x14ac:dyDescent="0.35">
      <c r="A447" t="s">
        <v>1047</v>
      </c>
      <c r="B447" s="13">
        <v>45640</v>
      </c>
      <c r="C447" t="s">
        <v>1048</v>
      </c>
      <c r="D447" t="s">
        <v>3</v>
      </c>
      <c r="E447" t="s">
        <v>53</v>
      </c>
      <c r="F447" t="s">
        <v>54</v>
      </c>
      <c r="G447" t="s">
        <v>23</v>
      </c>
      <c r="H447" t="s">
        <v>95</v>
      </c>
      <c r="I447">
        <v>1</v>
      </c>
      <c r="J447" s="1">
        <v>9449.94</v>
      </c>
      <c r="K447">
        <v>0.15</v>
      </c>
      <c r="L447" s="1">
        <v>7223.61</v>
      </c>
      <c r="M447" s="1">
        <v>2224.5100000000002</v>
      </c>
      <c r="N447" s="1">
        <v>32.57</v>
      </c>
      <c r="O447" t="s">
        <v>57</v>
      </c>
      <c r="P447">
        <v>1</v>
      </c>
      <c r="Q447" t="b">
        <v>1</v>
      </c>
      <c r="R447" t="s">
        <v>9</v>
      </c>
      <c r="S447">
        <v>2</v>
      </c>
      <c r="T447" t="e">
        <f>IF(#REF!&lt;=25, "Young Age", IF(#REF!&lt;=40, "Mid Age", "Old Age"))</f>
        <v>#REF!</v>
      </c>
      <c r="U447" t="str">
        <f t="shared" si="6"/>
        <v>Okay</v>
      </c>
    </row>
    <row r="448" spans="1:21" x14ac:dyDescent="0.35">
      <c r="A448" t="s">
        <v>1049</v>
      </c>
      <c r="B448" s="13">
        <v>44313</v>
      </c>
      <c r="C448" t="s">
        <v>1050</v>
      </c>
      <c r="D448" t="s">
        <v>13</v>
      </c>
      <c r="E448" t="s">
        <v>4</v>
      </c>
      <c r="F448" t="s">
        <v>48</v>
      </c>
      <c r="G448" t="s">
        <v>105</v>
      </c>
      <c r="H448" t="s">
        <v>120</v>
      </c>
      <c r="I448">
        <v>8</v>
      </c>
      <c r="J448" s="1">
        <v>30314.74</v>
      </c>
      <c r="K448">
        <v>0.06</v>
      </c>
      <c r="L448" s="1">
        <v>283224.55</v>
      </c>
      <c r="M448" s="1">
        <v>33093.14</v>
      </c>
      <c r="N448" s="1">
        <v>68.75</v>
      </c>
      <c r="O448" t="s">
        <v>49</v>
      </c>
      <c r="P448">
        <v>1</v>
      </c>
      <c r="Q448" t="b">
        <v>1</v>
      </c>
      <c r="R448" t="s">
        <v>9</v>
      </c>
      <c r="S448">
        <v>9</v>
      </c>
      <c r="T448" t="e">
        <f>IF(#REF!&lt;=25, "Young Age", IF(#REF!&lt;=40, "Mid Age", "Old Age"))</f>
        <v>#REF!</v>
      </c>
      <c r="U448" t="str">
        <f t="shared" si="6"/>
        <v>Over Delayed</v>
      </c>
    </row>
    <row r="449" spans="1:21" x14ac:dyDescent="0.35">
      <c r="A449" t="s">
        <v>1051</v>
      </c>
      <c r="B449" s="13">
        <v>44126</v>
      </c>
      <c r="C449" t="s">
        <v>1052</v>
      </c>
      <c r="D449" t="s">
        <v>3</v>
      </c>
      <c r="E449" t="s">
        <v>89</v>
      </c>
      <c r="F449" t="s">
        <v>299</v>
      </c>
      <c r="G449" t="s">
        <v>124</v>
      </c>
      <c r="H449" t="s">
        <v>254</v>
      </c>
      <c r="I449">
        <v>1</v>
      </c>
      <c r="J449" s="1">
        <v>12380.73</v>
      </c>
      <c r="K449">
        <v>0.24</v>
      </c>
      <c r="L449" s="1">
        <v>8294.2999999999993</v>
      </c>
      <c r="M449" s="1">
        <v>2144.64</v>
      </c>
      <c r="N449" s="1">
        <v>80.23</v>
      </c>
      <c r="O449" t="s">
        <v>49</v>
      </c>
      <c r="P449">
        <v>4</v>
      </c>
      <c r="Q449" t="b">
        <v>0</v>
      </c>
      <c r="R449" t="s">
        <v>63</v>
      </c>
      <c r="S449">
        <v>5</v>
      </c>
      <c r="T449" t="e">
        <f>IF(#REF!&lt;=25, "Young Age", IF(#REF!&lt;=40, "Mid Age", "Old Age"))</f>
        <v>#REF!</v>
      </c>
      <c r="U449" t="str">
        <f t="shared" si="6"/>
        <v>Delayed</v>
      </c>
    </row>
    <row r="450" spans="1:21" x14ac:dyDescent="0.35">
      <c r="A450" t="s">
        <v>1053</v>
      </c>
      <c r="B450" s="13" t="s">
        <v>1054</v>
      </c>
      <c r="C450" t="s">
        <v>1055</v>
      </c>
      <c r="D450" t="s">
        <v>13</v>
      </c>
      <c r="E450" t="s">
        <v>14</v>
      </c>
      <c r="F450" t="s">
        <v>22</v>
      </c>
      <c r="G450" t="s">
        <v>124</v>
      </c>
      <c r="H450" t="s">
        <v>125</v>
      </c>
      <c r="I450">
        <v>4</v>
      </c>
      <c r="J450" s="1">
        <v>6304.42</v>
      </c>
      <c r="K450">
        <v>0.31</v>
      </c>
      <c r="L450" s="1">
        <v>15164.38</v>
      </c>
      <c r="M450" s="1">
        <v>3544.74</v>
      </c>
      <c r="N450" s="1">
        <v>95.26</v>
      </c>
      <c r="O450" t="s">
        <v>49</v>
      </c>
      <c r="P450">
        <v>5</v>
      </c>
      <c r="Q450" t="b">
        <v>0</v>
      </c>
      <c r="R450" t="s">
        <v>18</v>
      </c>
      <c r="S450">
        <v>6</v>
      </c>
      <c r="T450" t="e">
        <f>IF(#REF!&lt;=25, "Young Age", IF(#REF!&lt;=40, "Mid Age", "Old Age"))</f>
        <v>#REF!</v>
      </c>
      <c r="U450" t="str">
        <f t="shared" ref="U450:U513" si="7">IF(S450 &lt;=4, "Okay", IF(S450 &lt;=7, "Delayed", "Over Delayed"))</f>
        <v>Delayed</v>
      </c>
    </row>
    <row r="451" spans="1:21" x14ac:dyDescent="0.35">
      <c r="A451" t="s">
        <v>1056</v>
      </c>
      <c r="B451" s="13">
        <v>43905</v>
      </c>
      <c r="C451" t="s">
        <v>1057</v>
      </c>
      <c r="D451" t="s">
        <v>3</v>
      </c>
      <c r="E451" t="s">
        <v>61</v>
      </c>
      <c r="F451" t="s">
        <v>104</v>
      </c>
      <c r="G451" t="s">
        <v>55</v>
      </c>
      <c r="H451" t="s">
        <v>56</v>
      </c>
      <c r="I451">
        <v>2</v>
      </c>
      <c r="J451" s="1">
        <v>2448.31</v>
      </c>
      <c r="K451">
        <v>0.35</v>
      </c>
      <c r="L451" s="1">
        <v>3584.88</v>
      </c>
      <c r="M451" s="1">
        <v>1270.1600000000001</v>
      </c>
      <c r="N451" s="1">
        <v>79.97</v>
      </c>
      <c r="O451" t="s">
        <v>49</v>
      </c>
      <c r="P451">
        <v>4</v>
      </c>
      <c r="Q451" t="b">
        <v>0</v>
      </c>
      <c r="R451" t="s">
        <v>18</v>
      </c>
      <c r="S451">
        <v>7</v>
      </c>
      <c r="T451" t="e">
        <f>IF(#REF!&lt;=25, "Young Age", IF(#REF!&lt;=40, "Mid Age", "Old Age"))</f>
        <v>#REF!</v>
      </c>
      <c r="U451" t="str">
        <f t="shared" si="7"/>
        <v>Delayed</v>
      </c>
    </row>
    <row r="452" spans="1:21" x14ac:dyDescent="0.35">
      <c r="A452" t="s">
        <v>1058</v>
      </c>
      <c r="B452" s="13">
        <v>45343</v>
      </c>
      <c r="C452" t="s">
        <v>1059</v>
      </c>
      <c r="D452" t="s">
        <v>3</v>
      </c>
      <c r="E452" t="s">
        <v>89</v>
      </c>
      <c r="F452" t="s">
        <v>119</v>
      </c>
      <c r="G452" t="s">
        <v>105</v>
      </c>
      <c r="H452" t="s">
        <v>120</v>
      </c>
      <c r="I452">
        <v>3</v>
      </c>
      <c r="J452" s="1">
        <v>50121.13</v>
      </c>
      <c r="K452">
        <v>0.25</v>
      </c>
      <c r="L452" s="1">
        <v>130268.18</v>
      </c>
      <c r="M452" s="1">
        <v>18524</v>
      </c>
      <c r="N452" s="1">
        <v>68.489999999999995</v>
      </c>
      <c r="O452" t="s">
        <v>8</v>
      </c>
      <c r="P452">
        <v>5</v>
      </c>
      <c r="Q452" t="b">
        <v>0</v>
      </c>
      <c r="R452" t="s">
        <v>578</v>
      </c>
      <c r="S452">
        <v>4</v>
      </c>
      <c r="T452" t="e">
        <f>IF(#REF!&lt;=25, "Young Age", IF(#REF!&lt;=40, "Mid Age", "Old Age"))</f>
        <v>#REF!</v>
      </c>
      <c r="U452" t="str">
        <f t="shared" si="7"/>
        <v>Okay</v>
      </c>
    </row>
    <row r="453" spans="1:21" x14ac:dyDescent="0.35">
      <c r="A453" t="s">
        <v>1060</v>
      </c>
      <c r="B453" s="13">
        <v>45133</v>
      </c>
      <c r="C453" t="s">
        <v>1061</v>
      </c>
      <c r="D453" t="s">
        <v>3</v>
      </c>
      <c r="E453" t="s">
        <v>53</v>
      </c>
      <c r="F453" t="s">
        <v>170</v>
      </c>
      <c r="G453" t="s">
        <v>124</v>
      </c>
      <c r="H453" t="s">
        <v>195</v>
      </c>
      <c r="I453">
        <v>5</v>
      </c>
      <c r="J453" s="1">
        <v>1956.54</v>
      </c>
      <c r="K453">
        <v>0.2</v>
      </c>
      <c r="L453" s="1">
        <v>10411.35</v>
      </c>
      <c r="M453" s="1">
        <v>2723.2</v>
      </c>
      <c r="N453" s="1">
        <v>60.98</v>
      </c>
      <c r="O453" t="s">
        <v>57</v>
      </c>
      <c r="P453">
        <v>3</v>
      </c>
      <c r="Q453" t="b">
        <v>0</v>
      </c>
      <c r="R453" t="s">
        <v>18</v>
      </c>
      <c r="S453">
        <v>3</v>
      </c>
      <c r="T453" t="e">
        <f>IF(#REF!&lt;=25, "Young Age", IF(#REF!&lt;=40, "Mid Age", "Old Age"))</f>
        <v>#REF!</v>
      </c>
      <c r="U453" t="str">
        <f t="shared" si="7"/>
        <v>Okay</v>
      </c>
    </row>
    <row r="454" spans="1:21" x14ac:dyDescent="0.35">
      <c r="A454" t="s">
        <v>1062</v>
      </c>
      <c r="B454" s="13">
        <v>45360</v>
      </c>
      <c r="C454" t="s">
        <v>1063</v>
      </c>
      <c r="D454" t="s">
        <v>3</v>
      </c>
      <c r="E454" t="s">
        <v>53</v>
      </c>
      <c r="F454" t="s">
        <v>79</v>
      </c>
      <c r="G454" t="s">
        <v>105</v>
      </c>
      <c r="H454" t="s">
        <v>149</v>
      </c>
      <c r="I454">
        <v>5</v>
      </c>
      <c r="J454" s="1">
        <v>35958.57</v>
      </c>
      <c r="K454">
        <v>0.23</v>
      </c>
      <c r="L454" s="1">
        <v>180888.8</v>
      </c>
      <c r="M454" s="1">
        <v>18318.66</v>
      </c>
      <c r="N454" s="1">
        <v>45.69</v>
      </c>
      <c r="O454" t="s">
        <v>57</v>
      </c>
      <c r="P454">
        <v>1</v>
      </c>
      <c r="Q454" t="b">
        <v>0</v>
      </c>
      <c r="R454" t="s">
        <v>18</v>
      </c>
      <c r="S454">
        <v>6</v>
      </c>
      <c r="T454" t="e">
        <f>IF(#REF!&lt;=25, "Young Age", IF(#REF!&lt;=40, "Mid Age", "Old Age"))</f>
        <v>#REF!</v>
      </c>
      <c r="U454" t="str">
        <f t="shared" si="7"/>
        <v>Delayed</v>
      </c>
    </row>
    <row r="455" spans="1:21" x14ac:dyDescent="0.35">
      <c r="A455" t="s">
        <v>1064</v>
      </c>
      <c r="B455" s="13">
        <v>44593</v>
      </c>
      <c r="C455" t="s">
        <v>1065</v>
      </c>
      <c r="D455" t="s">
        <v>47</v>
      </c>
      <c r="E455" t="s">
        <v>61</v>
      </c>
      <c r="F455" t="s">
        <v>222</v>
      </c>
      <c r="G455" t="s">
        <v>16</v>
      </c>
      <c r="H455" t="s">
        <v>557</v>
      </c>
      <c r="I455">
        <v>10</v>
      </c>
      <c r="J455" s="1">
        <v>1797.87</v>
      </c>
      <c r="K455">
        <v>0.31</v>
      </c>
      <c r="L455" s="1">
        <v>12188.57</v>
      </c>
      <c r="M455" s="1">
        <v>2948.45</v>
      </c>
      <c r="N455" s="1">
        <v>85.14</v>
      </c>
      <c r="O455" t="s">
        <v>43</v>
      </c>
      <c r="P455" t="s">
        <v>2149</v>
      </c>
      <c r="Q455" t="b">
        <v>0</v>
      </c>
      <c r="R455" t="s">
        <v>115</v>
      </c>
      <c r="S455">
        <v>4</v>
      </c>
      <c r="T455" t="e">
        <f>IF(#REF!&lt;=25, "Young Age", IF(#REF!&lt;=40, "Mid Age", "Old Age"))</f>
        <v>#REF!</v>
      </c>
      <c r="U455" t="str">
        <f t="shared" si="7"/>
        <v>Okay</v>
      </c>
    </row>
    <row r="456" spans="1:21" x14ac:dyDescent="0.35">
      <c r="A456" t="s">
        <v>1066</v>
      </c>
      <c r="B456" s="13">
        <v>44600</v>
      </c>
      <c r="C456" t="s">
        <v>1067</v>
      </c>
      <c r="D456" t="s">
        <v>13</v>
      </c>
      <c r="E456" t="s">
        <v>53</v>
      </c>
      <c r="F456" t="s">
        <v>170</v>
      </c>
      <c r="G456" t="s">
        <v>6</v>
      </c>
      <c r="H456" t="s">
        <v>387</v>
      </c>
      <c r="I456">
        <v>10</v>
      </c>
      <c r="J456" s="1">
        <v>299.20999999999998</v>
      </c>
      <c r="K456">
        <v>0.19</v>
      </c>
      <c r="L456" s="1">
        <v>2491.46</v>
      </c>
      <c r="M456" s="1">
        <v>268.35000000000002</v>
      </c>
      <c r="N456" s="1">
        <v>16.739999999999998</v>
      </c>
      <c r="O456" t="s">
        <v>36</v>
      </c>
      <c r="P456">
        <v>3</v>
      </c>
      <c r="Q456" t="b">
        <v>0</v>
      </c>
      <c r="R456" t="s">
        <v>18</v>
      </c>
      <c r="S456">
        <v>9</v>
      </c>
      <c r="T456" t="e">
        <f>IF(#REF!&lt;=25, "Young Age", IF(#REF!&lt;=40, "Mid Age", "Old Age"))</f>
        <v>#REF!</v>
      </c>
      <c r="U456" t="str">
        <f t="shared" si="7"/>
        <v>Over Delayed</v>
      </c>
    </row>
    <row r="457" spans="1:21" x14ac:dyDescent="0.35">
      <c r="A457" t="s">
        <v>1068</v>
      </c>
      <c r="B457" s="13">
        <v>44839</v>
      </c>
      <c r="C457" t="s">
        <v>1069</v>
      </c>
      <c r="D457" t="s">
        <v>3</v>
      </c>
      <c r="E457" t="s">
        <v>4</v>
      </c>
      <c r="F457" t="s">
        <v>148</v>
      </c>
      <c r="G457" t="s">
        <v>23</v>
      </c>
      <c r="H457" t="s">
        <v>164</v>
      </c>
      <c r="I457">
        <v>8</v>
      </c>
      <c r="J457" s="1">
        <v>32195.15</v>
      </c>
      <c r="K457">
        <v>0.25</v>
      </c>
      <c r="L457" s="1">
        <v>191258.73</v>
      </c>
      <c r="M457" s="1">
        <v>53878.3</v>
      </c>
      <c r="N457" s="1">
        <v>67.87</v>
      </c>
      <c r="O457" t="s">
        <v>43</v>
      </c>
      <c r="P457">
        <v>2</v>
      </c>
      <c r="Q457" t="b">
        <v>0</v>
      </c>
      <c r="R457" t="s">
        <v>18</v>
      </c>
      <c r="S457">
        <v>4</v>
      </c>
      <c r="T457" t="e">
        <f>IF(#REF!&lt;=25, "Young Age", IF(#REF!&lt;=40, "Mid Age", "Old Age"))</f>
        <v>#REF!</v>
      </c>
      <c r="U457" t="str">
        <f t="shared" si="7"/>
        <v>Okay</v>
      </c>
    </row>
    <row r="458" spans="1:21" x14ac:dyDescent="0.35">
      <c r="A458" t="s">
        <v>1070</v>
      </c>
      <c r="B458" s="13">
        <v>44570</v>
      </c>
      <c r="C458" t="s">
        <v>1071</v>
      </c>
      <c r="D458" t="s">
        <v>3</v>
      </c>
      <c r="E458" t="s">
        <v>89</v>
      </c>
      <c r="F458" t="s">
        <v>299</v>
      </c>
      <c r="G458" t="s">
        <v>23</v>
      </c>
      <c r="H458" t="s">
        <v>95</v>
      </c>
      <c r="I458">
        <v>7</v>
      </c>
      <c r="J458" s="1">
        <v>2529.87</v>
      </c>
      <c r="K458">
        <v>0.12</v>
      </c>
      <c r="L458" s="1">
        <v>14719.17</v>
      </c>
      <c r="M458" s="1">
        <v>4154.01</v>
      </c>
      <c r="N458" s="1">
        <v>90.47</v>
      </c>
      <c r="O458" t="s">
        <v>30</v>
      </c>
      <c r="P458">
        <v>5</v>
      </c>
      <c r="Q458" t="b">
        <v>0</v>
      </c>
      <c r="R458" t="s">
        <v>18</v>
      </c>
      <c r="S458" t="s">
        <v>2149</v>
      </c>
      <c r="T458" t="e">
        <f>IF(#REF!&lt;=25, "Young Age", IF(#REF!&lt;=40, "Mid Age", "Old Age"))</f>
        <v>#REF!</v>
      </c>
      <c r="U458" t="str">
        <f t="shared" si="7"/>
        <v>Over Delayed</v>
      </c>
    </row>
    <row r="459" spans="1:21" x14ac:dyDescent="0.35">
      <c r="A459" t="s">
        <v>1072</v>
      </c>
      <c r="B459" s="13">
        <v>44852</v>
      </c>
      <c r="C459" t="s">
        <v>1073</v>
      </c>
      <c r="D459" t="s">
        <v>47</v>
      </c>
      <c r="E459" t="s">
        <v>53</v>
      </c>
      <c r="F459" t="s">
        <v>54</v>
      </c>
      <c r="G459" t="s">
        <v>124</v>
      </c>
      <c r="H459" t="s">
        <v>139</v>
      </c>
      <c r="I459">
        <v>10</v>
      </c>
      <c r="J459" s="1">
        <v>14562.6</v>
      </c>
      <c r="K459">
        <v>0.31</v>
      </c>
      <c r="L459" s="1">
        <v>86000.34</v>
      </c>
      <c r="M459" s="1">
        <v>18267.52</v>
      </c>
      <c r="N459" s="1">
        <v>33.549999999999997</v>
      </c>
      <c r="O459" t="s">
        <v>43</v>
      </c>
      <c r="P459">
        <v>5</v>
      </c>
      <c r="Q459" t="b">
        <v>0</v>
      </c>
      <c r="R459" t="s">
        <v>18</v>
      </c>
      <c r="S459">
        <v>4</v>
      </c>
      <c r="T459" t="e">
        <f>IF(#REF!&lt;=25, "Young Age", IF(#REF!&lt;=40, "Mid Age", "Old Age"))</f>
        <v>#REF!</v>
      </c>
      <c r="U459" t="str">
        <f t="shared" si="7"/>
        <v>Okay</v>
      </c>
    </row>
    <row r="460" spans="1:21" x14ac:dyDescent="0.35">
      <c r="A460" t="s">
        <v>1074</v>
      </c>
      <c r="B460" s="13">
        <v>43873</v>
      </c>
      <c r="C460" t="s">
        <v>1075</v>
      </c>
      <c r="D460" t="s">
        <v>47</v>
      </c>
      <c r="E460" t="s">
        <v>89</v>
      </c>
      <c r="F460" t="s">
        <v>119</v>
      </c>
      <c r="G460" t="s">
        <v>16</v>
      </c>
      <c r="H460" t="s">
        <v>160</v>
      </c>
      <c r="I460">
        <v>6</v>
      </c>
      <c r="J460" s="1">
        <v>1270.3599999999999</v>
      </c>
      <c r="K460">
        <v>0.06</v>
      </c>
      <c r="L460" s="1">
        <v>5747.77</v>
      </c>
      <c r="M460" s="1">
        <v>2669</v>
      </c>
      <c r="N460" s="1">
        <v>62.46</v>
      </c>
      <c r="O460" t="s">
        <v>30</v>
      </c>
      <c r="P460">
        <v>3</v>
      </c>
      <c r="Q460" t="b">
        <v>0</v>
      </c>
      <c r="R460" t="s">
        <v>18</v>
      </c>
      <c r="S460">
        <v>8</v>
      </c>
      <c r="T460" t="e">
        <f>IF(#REF!&lt;=25, "Young Age", IF(#REF!&lt;=40, "Mid Age", "Old Age"))</f>
        <v>#REF!</v>
      </c>
      <c r="U460" t="str">
        <f t="shared" si="7"/>
        <v>Over Delayed</v>
      </c>
    </row>
    <row r="461" spans="1:21" x14ac:dyDescent="0.35">
      <c r="A461" t="s">
        <v>1076</v>
      </c>
      <c r="B461" s="13" t="s">
        <v>1077</v>
      </c>
      <c r="C461" t="s">
        <v>1078</v>
      </c>
      <c r="D461" t="s">
        <v>3</v>
      </c>
      <c r="E461" t="s">
        <v>89</v>
      </c>
      <c r="F461" t="s">
        <v>99</v>
      </c>
      <c r="G461" t="s">
        <v>41</v>
      </c>
      <c r="H461" t="s">
        <v>244</v>
      </c>
      <c r="I461">
        <v>3</v>
      </c>
      <c r="J461" s="1">
        <v>789.1</v>
      </c>
      <c r="K461">
        <v>0.18</v>
      </c>
      <c r="L461" s="1">
        <v>1449.86</v>
      </c>
      <c r="M461" s="1">
        <v>562.04</v>
      </c>
      <c r="N461" s="1">
        <v>72.430000000000007</v>
      </c>
      <c r="O461" t="s">
        <v>57</v>
      </c>
      <c r="P461">
        <v>3</v>
      </c>
      <c r="Q461" t="b">
        <v>0</v>
      </c>
      <c r="R461" t="s">
        <v>63</v>
      </c>
      <c r="S461">
        <v>2</v>
      </c>
      <c r="T461" t="e">
        <f>IF(#REF!&lt;=25, "Young Age", IF(#REF!&lt;=40, "Mid Age", "Old Age"))</f>
        <v>#REF!</v>
      </c>
      <c r="U461" t="str">
        <f t="shared" si="7"/>
        <v>Okay</v>
      </c>
    </row>
    <row r="462" spans="1:21" x14ac:dyDescent="0.35">
      <c r="A462" t="s">
        <v>1079</v>
      </c>
      <c r="B462" s="13">
        <v>44195</v>
      </c>
      <c r="C462" t="s">
        <v>1080</v>
      </c>
      <c r="D462" t="s">
        <v>3</v>
      </c>
      <c r="E462" t="s">
        <v>61</v>
      </c>
      <c r="F462" t="s">
        <v>62</v>
      </c>
      <c r="G462" t="s">
        <v>105</v>
      </c>
      <c r="H462" t="s">
        <v>174</v>
      </c>
      <c r="I462">
        <v>7</v>
      </c>
      <c r="J462" s="1">
        <v>56504.32</v>
      </c>
      <c r="K462">
        <v>0.3</v>
      </c>
      <c r="L462" s="1">
        <v>197546.47</v>
      </c>
      <c r="M462" s="1">
        <v>21532.46</v>
      </c>
      <c r="N462" s="1">
        <v>53.78</v>
      </c>
      <c r="O462" t="s">
        <v>43</v>
      </c>
      <c r="P462">
        <v>5</v>
      </c>
      <c r="Q462" t="b">
        <v>0</v>
      </c>
      <c r="R462" t="s">
        <v>18</v>
      </c>
      <c r="S462">
        <v>1</v>
      </c>
      <c r="T462" t="e">
        <f>IF(#REF!&lt;=25, "Young Age", IF(#REF!&lt;=40, "Mid Age", "Old Age"))</f>
        <v>#REF!</v>
      </c>
      <c r="U462" t="str">
        <f t="shared" si="7"/>
        <v>Okay</v>
      </c>
    </row>
    <row r="463" spans="1:21" x14ac:dyDescent="0.35">
      <c r="A463" t="s">
        <v>1081</v>
      </c>
      <c r="B463" s="13">
        <v>44044</v>
      </c>
      <c r="C463" t="s">
        <v>1082</v>
      </c>
      <c r="D463" t="s">
        <v>3</v>
      </c>
      <c r="E463" t="s">
        <v>4</v>
      </c>
      <c r="F463" t="s">
        <v>34</v>
      </c>
      <c r="G463" t="s">
        <v>124</v>
      </c>
      <c r="H463" t="s">
        <v>125</v>
      </c>
      <c r="I463">
        <v>2</v>
      </c>
      <c r="J463" s="1">
        <v>2448.88</v>
      </c>
      <c r="K463">
        <v>0.08</v>
      </c>
      <c r="L463" s="1">
        <v>3192.22</v>
      </c>
      <c r="M463" s="1">
        <v>355.63</v>
      </c>
      <c r="N463" s="1">
        <v>47.54</v>
      </c>
      <c r="O463" t="s">
        <v>43</v>
      </c>
      <c r="P463">
        <v>3</v>
      </c>
      <c r="Q463" t="b">
        <v>0</v>
      </c>
      <c r="R463" t="s">
        <v>18</v>
      </c>
      <c r="S463">
        <v>9</v>
      </c>
      <c r="T463" t="e">
        <f>IF(#REF!&lt;=25, "Young Age", IF(#REF!&lt;=40, "Mid Age", "Old Age"))</f>
        <v>#REF!</v>
      </c>
      <c r="U463" t="str">
        <f t="shared" si="7"/>
        <v>Over Delayed</v>
      </c>
    </row>
    <row r="464" spans="1:21" x14ac:dyDescent="0.35">
      <c r="A464" t="s">
        <v>1083</v>
      </c>
      <c r="B464" s="13">
        <v>45521</v>
      </c>
      <c r="C464" t="s">
        <v>1084</v>
      </c>
      <c r="D464" t="s">
        <v>47</v>
      </c>
      <c r="E464" t="s">
        <v>89</v>
      </c>
      <c r="F464" t="s">
        <v>99</v>
      </c>
      <c r="G464" t="s">
        <v>105</v>
      </c>
      <c r="H464" t="s">
        <v>120</v>
      </c>
      <c r="I464">
        <v>3</v>
      </c>
      <c r="J464" s="1">
        <v>51479.19</v>
      </c>
      <c r="K464">
        <v>0.25</v>
      </c>
      <c r="L464" s="1">
        <v>182018.37</v>
      </c>
      <c r="M464" s="1">
        <v>19016.37</v>
      </c>
      <c r="N464" s="1">
        <v>55.15</v>
      </c>
      <c r="O464" t="s">
        <v>57</v>
      </c>
      <c r="P464" t="s">
        <v>2149</v>
      </c>
      <c r="Q464" t="b">
        <v>0</v>
      </c>
      <c r="R464" t="s">
        <v>37</v>
      </c>
      <c r="S464">
        <v>3</v>
      </c>
      <c r="T464" t="e">
        <f>IF(#REF!&lt;=25, "Young Age", IF(#REF!&lt;=40, "Mid Age", "Old Age"))</f>
        <v>#REF!</v>
      </c>
      <c r="U464" t="str">
        <f t="shared" si="7"/>
        <v>Okay</v>
      </c>
    </row>
    <row r="465" spans="1:21" x14ac:dyDescent="0.35">
      <c r="A465" t="s">
        <v>1085</v>
      </c>
      <c r="B465" s="13">
        <v>45582</v>
      </c>
      <c r="C465" t="s">
        <v>1086</v>
      </c>
      <c r="D465" t="s">
        <v>3</v>
      </c>
      <c r="E465" t="s">
        <v>53</v>
      </c>
      <c r="F465" t="s">
        <v>79</v>
      </c>
      <c r="G465" t="s">
        <v>6</v>
      </c>
      <c r="H465" t="s">
        <v>387</v>
      </c>
      <c r="I465">
        <v>8</v>
      </c>
      <c r="J465" s="1">
        <v>184.25</v>
      </c>
      <c r="K465">
        <v>0.21</v>
      </c>
      <c r="L465" s="1">
        <v>1215.29</v>
      </c>
      <c r="M465" s="1">
        <v>77.92</v>
      </c>
      <c r="N465" s="1">
        <v>46.09</v>
      </c>
      <c r="O465" t="s">
        <v>49</v>
      </c>
      <c r="P465" t="s">
        <v>2149</v>
      </c>
      <c r="Q465" t="b">
        <v>0</v>
      </c>
      <c r="R465" t="s">
        <v>115</v>
      </c>
      <c r="S465">
        <v>6</v>
      </c>
      <c r="T465" t="e">
        <f>IF(#REF!&lt;=25, "Young Age", IF(#REF!&lt;=40, "Mid Age", "Old Age"))</f>
        <v>#REF!</v>
      </c>
      <c r="U465" t="str">
        <f t="shared" si="7"/>
        <v>Delayed</v>
      </c>
    </row>
    <row r="466" spans="1:21" x14ac:dyDescent="0.35">
      <c r="A466" t="s">
        <v>1087</v>
      </c>
      <c r="B466" s="13">
        <v>44862</v>
      </c>
      <c r="C466" t="s">
        <v>1088</v>
      </c>
      <c r="D466" t="s">
        <v>47</v>
      </c>
      <c r="E466" t="s">
        <v>53</v>
      </c>
      <c r="F466" t="s">
        <v>79</v>
      </c>
      <c r="G466" t="s">
        <v>105</v>
      </c>
      <c r="H466" t="s">
        <v>174</v>
      </c>
      <c r="I466">
        <v>6</v>
      </c>
      <c r="J466" s="1">
        <v>6441.62</v>
      </c>
      <c r="K466">
        <v>0.27</v>
      </c>
      <c r="L466" s="1">
        <v>31528.73</v>
      </c>
      <c r="M466" s="1">
        <v>5997.64</v>
      </c>
      <c r="N466" s="1">
        <v>53.2</v>
      </c>
      <c r="O466" t="s">
        <v>30</v>
      </c>
      <c r="P466">
        <v>3</v>
      </c>
      <c r="Q466" t="b">
        <v>0</v>
      </c>
      <c r="R466" t="s">
        <v>578</v>
      </c>
      <c r="S466">
        <v>8</v>
      </c>
      <c r="T466" t="e">
        <f>IF(#REF!&lt;=25, "Young Age", IF(#REF!&lt;=40, "Mid Age", "Old Age"))</f>
        <v>#REF!</v>
      </c>
      <c r="U466" t="str">
        <f t="shared" si="7"/>
        <v>Over Delayed</v>
      </c>
    </row>
    <row r="467" spans="1:21" x14ac:dyDescent="0.35">
      <c r="A467" t="s">
        <v>1089</v>
      </c>
      <c r="B467" s="13">
        <v>44653</v>
      </c>
      <c r="C467" t="s">
        <v>1090</v>
      </c>
      <c r="D467" t="s">
        <v>3</v>
      </c>
      <c r="E467" t="s">
        <v>14</v>
      </c>
      <c r="F467" t="s">
        <v>28</v>
      </c>
      <c r="G467" t="s">
        <v>6</v>
      </c>
      <c r="H467" t="s">
        <v>75</v>
      </c>
      <c r="I467">
        <v>3</v>
      </c>
      <c r="J467" s="1">
        <v>475.6</v>
      </c>
      <c r="K467">
        <v>0.18</v>
      </c>
      <c r="L467" s="1">
        <v>1586.7</v>
      </c>
      <c r="M467" s="1">
        <v>154.07</v>
      </c>
      <c r="N467" s="1">
        <v>65.63</v>
      </c>
      <c r="O467" t="s">
        <v>49</v>
      </c>
      <c r="P467">
        <v>1</v>
      </c>
      <c r="Q467" t="b">
        <v>0</v>
      </c>
      <c r="R467" t="s">
        <v>115</v>
      </c>
      <c r="S467">
        <v>10</v>
      </c>
      <c r="T467" t="e">
        <f>IF(#REF!&lt;=25, "Young Age", IF(#REF!&lt;=40, "Mid Age", "Old Age"))</f>
        <v>#REF!</v>
      </c>
      <c r="U467" t="str">
        <f t="shared" si="7"/>
        <v>Over Delayed</v>
      </c>
    </row>
    <row r="468" spans="1:21" x14ac:dyDescent="0.35">
      <c r="A468" t="s">
        <v>1091</v>
      </c>
      <c r="B468" s="13">
        <v>45581</v>
      </c>
      <c r="C468" t="s">
        <v>1092</v>
      </c>
      <c r="D468" t="s">
        <v>3</v>
      </c>
      <c r="E468" t="s">
        <v>4</v>
      </c>
      <c r="F468" t="s">
        <v>48</v>
      </c>
      <c r="G468" t="s">
        <v>23</v>
      </c>
      <c r="H468" t="s">
        <v>95</v>
      </c>
      <c r="I468">
        <v>2</v>
      </c>
      <c r="J468" s="1">
        <v>8590.5300000000007</v>
      </c>
      <c r="K468">
        <v>0.23</v>
      </c>
      <c r="L468" s="1">
        <v>12705.04</v>
      </c>
      <c r="M468" s="1">
        <v>3529.2</v>
      </c>
      <c r="N468" s="1">
        <v>40.590000000000003</v>
      </c>
      <c r="O468" t="s">
        <v>49</v>
      </c>
      <c r="P468">
        <v>5</v>
      </c>
      <c r="Q468" t="b">
        <v>0</v>
      </c>
      <c r="R468" t="s">
        <v>18</v>
      </c>
      <c r="S468">
        <v>6</v>
      </c>
      <c r="T468" t="e">
        <f>IF(#REF!&lt;=25, "Young Age", IF(#REF!&lt;=40, "Mid Age", "Old Age"))</f>
        <v>#REF!</v>
      </c>
      <c r="U468" t="str">
        <f t="shared" si="7"/>
        <v>Delayed</v>
      </c>
    </row>
    <row r="469" spans="1:21" x14ac:dyDescent="0.35">
      <c r="A469" t="s">
        <v>1093</v>
      </c>
      <c r="B469" s="13">
        <v>45592</v>
      </c>
      <c r="C469" t="s">
        <v>1094</v>
      </c>
      <c r="D469" t="s">
        <v>47</v>
      </c>
      <c r="E469" t="s">
        <v>53</v>
      </c>
      <c r="F469" t="s">
        <v>79</v>
      </c>
      <c r="G469" t="s">
        <v>23</v>
      </c>
      <c r="H469" t="s">
        <v>29</v>
      </c>
      <c r="I469">
        <v>1</v>
      </c>
      <c r="J469" s="1">
        <v>14589.01</v>
      </c>
      <c r="K469">
        <v>0.2</v>
      </c>
      <c r="L469" s="1">
        <v>13208.25</v>
      </c>
      <c r="M469" s="1">
        <v>3174.45</v>
      </c>
      <c r="N469" s="1">
        <v>52.97</v>
      </c>
      <c r="O469" t="s">
        <v>49</v>
      </c>
      <c r="P469">
        <v>3</v>
      </c>
      <c r="Q469" t="b">
        <v>0</v>
      </c>
      <c r="R469" t="s">
        <v>18</v>
      </c>
      <c r="S469">
        <v>1</v>
      </c>
      <c r="T469" t="e">
        <f>IF(#REF!&lt;=25, "Young Age", IF(#REF!&lt;=40, "Mid Age", "Old Age"))</f>
        <v>#REF!</v>
      </c>
      <c r="U469" t="str">
        <f t="shared" si="7"/>
        <v>Okay</v>
      </c>
    </row>
    <row r="470" spans="1:21" x14ac:dyDescent="0.35">
      <c r="A470" t="s">
        <v>1095</v>
      </c>
      <c r="B470" s="13">
        <v>44984</v>
      </c>
      <c r="C470" t="s">
        <v>1096</v>
      </c>
      <c r="D470" t="s">
        <v>47</v>
      </c>
      <c r="E470" t="s">
        <v>61</v>
      </c>
      <c r="F470" t="s">
        <v>271</v>
      </c>
      <c r="G470" t="s">
        <v>41</v>
      </c>
      <c r="H470" t="s">
        <v>244</v>
      </c>
      <c r="I470">
        <v>2</v>
      </c>
      <c r="J470" s="1">
        <v>484.9</v>
      </c>
      <c r="K470">
        <v>0.1</v>
      </c>
      <c r="L470" s="1">
        <v>1040.24</v>
      </c>
      <c r="M470" s="1">
        <v>423.7</v>
      </c>
      <c r="N470" s="1">
        <v>69.41</v>
      </c>
      <c r="O470" t="s">
        <v>36</v>
      </c>
      <c r="P470">
        <v>1</v>
      </c>
      <c r="Q470" t="b">
        <v>0</v>
      </c>
      <c r="R470" t="s">
        <v>18</v>
      </c>
      <c r="S470">
        <v>10</v>
      </c>
      <c r="T470" t="e">
        <f>IF(#REF!&lt;=25, "Young Age", IF(#REF!&lt;=40, "Mid Age", "Old Age"))</f>
        <v>#REF!</v>
      </c>
      <c r="U470" t="str">
        <f t="shared" si="7"/>
        <v>Over Delayed</v>
      </c>
    </row>
    <row r="471" spans="1:21" x14ac:dyDescent="0.35">
      <c r="A471" t="s">
        <v>1097</v>
      </c>
      <c r="B471" s="13">
        <v>44471</v>
      </c>
      <c r="C471" t="s">
        <v>1098</v>
      </c>
      <c r="D471" t="s">
        <v>3</v>
      </c>
      <c r="E471" t="s">
        <v>89</v>
      </c>
      <c r="F471" t="s">
        <v>99</v>
      </c>
      <c r="G471" t="s">
        <v>105</v>
      </c>
      <c r="H471" t="s">
        <v>149</v>
      </c>
      <c r="I471">
        <v>10</v>
      </c>
      <c r="J471" s="1">
        <v>23157.51</v>
      </c>
      <c r="K471">
        <v>0.12</v>
      </c>
      <c r="L471" s="1">
        <v>176221.6</v>
      </c>
      <c r="M471" s="1">
        <v>21453.69</v>
      </c>
      <c r="N471" s="1">
        <v>53.6</v>
      </c>
      <c r="O471" t="s">
        <v>36</v>
      </c>
      <c r="P471">
        <v>3</v>
      </c>
      <c r="Q471" t="b">
        <v>0</v>
      </c>
      <c r="R471" t="s">
        <v>18</v>
      </c>
      <c r="S471">
        <v>4</v>
      </c>
      <c r="T471" t="e">
        <f>IF(#REF!&lt;=25, "Young Age", IF(#REF!&lt;=40, "Mid Age", "Old Age"))</f>
        <v>#REF!</v>
      </c>
      <c r="U471" t="str">
        <f t="shared" si="7"/>
        <v>Okay</v>
      </c>
    </row>
    <row r="472" spans="1:21" x14ac:dyDescent="0.35">
      <c r="A472" t="s">
        <v>1099</v>
      </c>
      <c r="B472" s="13">
        <v>45290</v>
      </c>
      <c r="C472" t="s">
        <v>1100</v>
      </c>
      <c r="D472" t="s">
        <v>13</v>
      </c>
      <c r="E472" t="s">
        <v>4</v>
      </c>
      <c r="F472" t="s">
        <v>5</v>
      </c>
      <c r="G472" t="s">
        <v>41</v>
      </c>
      <c r="H472" t="s">
        <v>261</v>
      </c>
      <c r="I472">
        <v>9</v>
      </c>
      <c r="J472" s="1">
        <v>609.86</v>
      </c>
      <c r="K472">
        <v>0.14000000000000001</v>
      </c>
      <c r="L472" s="1">
        <v>3554.23</v>
      </c>
      <c r="M472" s="1">
        <v>1923.48</v>
      </c>
      <c r="N472" s="1">
        <v>54.96</v>
      </c>
      <c r="O472" t="s">
        <v>30</v>
      </c>
      <c r="P472" t="s">
        <v>2149</v>
      </c>
      <c r="Q472" t="b">
        <v>0</v>
      </c>
      <c r="R472" t="s">
        <v>115</v>
      </c>
      <c r="S472">
        <v>1</v>
      </c>
      <c r="T472" t="e">
        <f>IF(#REF!&lt;=25, "Young Age", IF(#REF!&lt;=40, "Mid Age", "Old Age"))</f>
        <v>#REF!</v>
      </c>
      <c r="U472" t="str">
        <f t="shared" si="7"/>
        <v>Okay</v>
      </c>
    </row>
    <row r="473" spans="1:21" x14ac:dyDescent="0.35">
      <c r="A473" t="s">
        <v>1101</v>
      </c>
      <c r="B473" s="13">
        <v>44996</v>
      </c>
      <c r="C473" t="s">
        <v>1102</v>
      </c>
      <c r="D473" t="s">
        <v>13</v>
      </c>
      <c r="E473" t="s">
        <v>89</v>
      </c>
      <c r="F473" t="s">
        <v>299</v>
      </c>
      <c r="G473" t="s">
        <v>55</v>
      </c>
      <c r="H473" t="s">
        <v>110</v>
      </c>
      <c r="I473">
        <v>8</v>
      </c>
      <c r="J473" s="1">
        <v>570.17999999999995</v>
      </c>
      <c r="K473">
        <v>0.04</v>
      </c>
      <c r="L473" s="1">
        <v>5294.75</v>
      </c>
      <c r="M473" s="1">
        <v>1738.46</v>
      </c>
      <c r="N473" s="1">
        <v>56.28</v>
      </c>
      <c r="O473" t="s">
        <v>49</v>
      </c>
      <c r="P473">
        <v>2</v>
      </c>
      <c r="Q473" t="b">
        <v>0</v>
      </c>
      <c r="R473" t="s">
        <v>18</v>
      </c>
      <c r="S473">
        <v>4</v>
      </c>
      <c r="T473" t="e">
        <f>IF(#REF!&lt;=25, "Young Age", IF(#REF!&lt;=40, "Mid Age", "Old Age"))</f>
        <v>#REF!</v>
      </c>
      <c r="U473" t="str">
        <f t="shared" si="7"/>
        <v>Okay</v>
      </c>
    </row>
    <row r="474" spans="1:21" x14ac:dyDescent="0.35">
      <c r="A474" t="s">
        <v>1103</v>
      </c>
      <c r="B474" s="13">
        <v>44971</v>
      </c>
      <c r="C474" t="s">
        <v>1104</v>
      </c>
      <c r="D474" t="s">
        <v>47</v>
      </c>
      <c r="E474" t="s">
        <v>53</v>
      </c>
      <c r="F474" t="s">
        <v>79</v>
      </c>
      <c r="G474" t="s">
        <v>105</v>
      </c>
      <c r="H474" t="s">
        <v>149</v>
      </c>
      <c r="I474">
        <v>9</v>
      </c>
      <c r="J474" s="1">
        <v>41854.410000000003</v>
      </c>
      <c r="K474">
        <v>0.33</v>
      </c>
      <c r="L474" s="1">
        <v>247342.73</v>
      </c>
      <c r="M474" s="1">
        <v>30449.06</v>
      </c>
      <c r="N474" s="1">
        <v>42.16</v>
      </c>
      <c r="O474" t="s">
        <v>8</v>
      </c>
      <c r="P474">
        <v>2</v>
      </c>
      <c r="Q474" t="b">
        <v>0</v>
      </c>
      <c r="R474" t="s">
        <v>18</v>
      </c>
      <c r="S474">
        <v>8</v>
      </c>
      <c r="T474" t="e">
        <f>IF(#REF!&lt;=25, "Young Age", IF(#REF!&lt;=40, "Mid Age", "Old Age"))</f>
        <v>#REF!</v>
      </c>
      <c r="U474" t="str">
        <f t="shared" si="7"/>
        <v>Over Delayed</v>
      </c>
    </row>
    <row r="475" spans="1:21" x14ac:dyDescent="0.35">
      <c r="A475" t="s">
        <v>1105</v>
      </c>
      <c r="B475" s="13">
        <v>44667</v>
      </c>
      <c r="C475" t="s">
        <v>1106</v>
      </c>
      <c r="D475" t="s">
        <v>47</v>
      </c>
      <c r="E475" t="s">
        <v>4</v>
      </c>
      <c r="F475" t="s">
        <v>48</v>
      </c>
      <c r="G475" t="s">
        <v>55</v>
      </c>
      <c r="H475" t="s">
        <v>100</v>
      </c>
      <c r="I475">
        <v>3</v>
      </c>
      <c r="J475" s="1">
        <v>3710.29</v>
      </c>
      <c r="K475">
        <v>0.05</v>
      </c>
      <c r="L475" s="1">
        <v>14616.34</v>
      </c>
      <c r="M475" s="1">
        <v>5360.81</v>
      </c>
      <c r="N475" s="1">
        <v>62.88</v>
      </c>
      <c r="O475" t="s">
        <v>43</v>
      </c>
      <c r="P475">
        <v>4</v>
      </c>
      <c r="Q475" t="b">
        <v>0</v>
      </c>
      <c r="R475" t="s">
        <v>18</v>
      </c>
      <c r="S475">
        <v>4</v>
      </c>
      <c r="T475" t="e">
        <f>IF(#REF!&lt;=25, "Young Age", IF(#REF!&lt;=40, "Mid Age", "Old Age"))</f>
        <v>#REF!</v>
      </c>
      <c r="U475" t="str">
        <f t="shared" si="7"/>
        <v>Okay</v>
      </c>
    </row>
    <row r="476" spans="1:21" x14ac:dyDescent="0.35">
      <c r="A476" t="s">
        <v>1107</v>
      </c>
      <c r="B476" s="13">
        <v>44591</v>
      </c>
      <c r="C476" t="s">
        <v>1108</v>
      </c>
      <c r="D476" t="s">
        <v>13</v>
      </c>
      <c r="E476" t="s">
        <v>53</v>
      </c>
      <c r="F476" t="s">
        <v>54</v>
      </c>
      <c r="G476" t="s">
        <v>16</v>
      </c>
      <c r="H476" t="s">
        <v>160</v>
      </c>
      <c r="I476">
        <v>10</v>
      </c>
      <c r="J476" s="1">
        <v>2477.1</v>
      </c>
      <c r="K476">
        <v>0.19</v>
      </c>
      <c r="L476" s="1">
        <v>19204</v>
      </c>
      <c r="M476" s="1">
        <v>9210.86</v>
      </c>
      <c r="N476" s="1">
        <v>24.71</v>
      </c>
      <c r="O476" t="s">
        <v>49</v>
      </c>
      <c r="P476">
        <v>5</v>
      </c>
      <c r="Q476" t="b">
        <v>0</v>
      </c>
      <c r="R476" t="s">
        <v>63</v>
      </c>
      <c r="S476">
        <v>8</v>
      </c>
      <c r="T476" t="e">
        <f>IF(#REF!&lt;=25, "Young Age", IF(#REF!&lt;=40, "Mid Age", "Old Age"))</f>
        <v>#REF!</v>
      </c>
      <c r="U476" t="str">
        <f t="shared" si="7"/>
        <v>Over Delayed</v>
      </c>
    </row>
    <row r="477" spans="1:21" x14ac:dyDescent="0.35">
      <c r="A477" t="s">
        <v>1109</v>
      </c>
      <c r="B477" s="13">
        <v>44186</v>
      </c>
      <c r="C477" t="s">
        <v>1110</v>
      </c>
      <c r="D477" t="s">
        <v>13</v>
      </c>
      <c r="E477" t="s">
        <v>89</v>
      </c>
      <c r="F477" t="s">
        <v>299</v>
      </c>
      <c r="G477" t="s">
        <v>124</v>
      </c>
      <c r="H477" t="s">
        <v>254</v>
      </c>
      <c r="I477">
        <v>8</v>
      </c>
      <c r="J477" s="1">
        <v>12540.64</v>
      </c>
      <c r="K477">
        <v>0.16</v>
      </c>
      <c r="L477" s="1">
        <v>54877.82</v>
      </c>
      <c r="M477" s="1">
        <v>12900.73</v>
      </c>
      <c r="N477" s="1">
        <v>44.66</v>
      </c>
      <c r="O477" t="s">
        <v>57</v>
      </c>
      <c r="P477">
        <v>1</v>
      </c>
      <c r="Q477" t="b">
        <v>0</v>
      </c>
      <c r="R477" t="s">
        <v>18</v>
      </c>
      <c r="S477">
        <v>8</v>
      </c>
      <c r="T477" t="e">
        <f>IF(#REF!&lt;=25, "Young Age", IF(#REF!&lt;=40, "Mid Age", "Old Age"))</f>
        <v>#REF!</v>
      </c>
      <c r="U477" t="str">
        <f t="shared" si="7"/>
        <v>Over Delayed</v>
      </c>
    </row>
    <row r="478" spans="1:21" x14ac:dyDescent="0.35">
      <c r="A478" t="s">
        <v>1111</v>
      </c>
      <c r="B478" s="13">
        <v>45066</v>
      </c>
      <c r="C478" t="s">
        <v>1112</v>
      </c>
      <c r="D478" t="s">
        <v>47</v>
      </c>
      <c r="E478" t="s">
        <v>61</v>
      </c>
      <c r="F478" t="s">
        <v>62</v>
      </c>
      <c r="G478" t="s">
        <v>16</v>
      </c>
      <c r="H478" t="s">
        <v>557</v>
      </c>
      <c r="I478">
        <v>8</v>
      </c>
      <c r="J478" s="1">
        <v>211.05</v>
      </c>
      <c r="K478">
        <v>0.17</v>
      </c>
      <c r="L478" s="1">
        <v>2271.48</v>
      </c>
      <c r="M478" s="1">
        <v>1315.77</v>
      </c>
      <c r="N478" s="1">
        <v>75.69</v>
      </c>
      <c r="O478" t="s">
        <v>36</v>
      </c>
      <c r="P478" t="s">
        <v>2149</v>
      </c>
      <c r="Q478" t="b">
        <v>1</v>
      </c>
      <c r="R478" t="s">
        <v>9</v>
      </c>
      <c r="S478">
        <v>3</v>
      </c>
      <c r="T478" t="e">
        <f>IF(#REF!&lt;=25, "Young Age", IF(#REF!&lt;=40, "Mid Age", "Old Age"))</f>
        <v>#REF!</v>
      </c>
      <c r="U478" t="str">
        <f t="shared" si="7"/>
        <v>Okay</v>
      </c>
    </row>
    <row r="479" spans="1:21" x14ac:dyDescent="0.35">
      <c r="A479" t="s">
        <v>1113</v>
      </c>
      <c r="B479" s="13">
        <v>44279</v>
      </c>
      <c r="C479" t="s">
        <v>1114</v>
      </c>
      <c r="D479" t="s">
        <v>47</v>
      </c>
      <c r="E479" t="s">
        <v>53</v>
      </c>
      <c r="F479" t="s">
        <v>114</v>
      </c>
      <c r="G479" t="s">
        <v>124</v>
      </c>
      <c r="H479" t="s">
        <v>413</v>
      </c>
      <c r="I479">
        <v>7</v>
      </c>
      <c r="J479" s="1">
        <v>2782.21</v>
      </c>
      <c r="K479">
        <v>0.21</v>
      </c>
      <c r="L479" s="1">
        <v>13694.75</v>
      </c>
      <c r="M479" s="1">
        <v>1856.34</v>
      </c>
      <c r="N479" s="1">
        <v>60.88</v>
      </c>
      <c r="O479" t="s">
        <v>36</v>
      </c>
      <c r="P479">
        <v>3</v>
      </c>
      <c r="Q479" t="b">
        <v>0</v>
      </c>
      <c r="R479" t="s">
        <v>175</v>
      </c>
      <c r="S479">
        <v>4</v>
      </c>
      <c r="T479" t="e">
        <f>IF(#REF!&lt;=25, "Young Age", IF(#REF!&lt;=40, "Mid Age", "Old Age"))</f>
        <v>#REF!</v>
      </c>
      <c r="U479" t="str">
        <f t="shared" si="7"/>
        <v>Okay</v>
      </c>
    </row>
    <row r="480" spans="1:21" x14ac:dyDescent="0.35">
      <c r="A480" t="s">
        <v>1115</v>
      </c>
      <c r="B480" s="13">
        <v>44464</v>
      </c>
      <c r="C480" t="s">
        <v>1116</v>
      </c>
      <c r="D480" t="s">
        <v>13</v>
      </c>
      <c r="E480" t="s">
        <v>4</v>
      </c>
      <c r="F480" t="s">
        <v>5</v>
      </c>
      <c r="G480" t="s">
        <v>16</v>
      </c>
      <c r="H480" t="s">
        <v>160</v>
      </c>
      <c r="I480">
        <v>7</v>
      </c>
      <c r="J480" s="1">
        <v>210.31</v>
      </c>
      <c r="K480">
        <v>0.23</v>
      </c>
      <c r="L480" s="1">
        <v>1209</v>
      </c>
      <c r="M480" s="1">
        <v>600.88</v>
      </c>
      <c r="N480" s="1">
        <v>67.459999999999994</v>
      </c>
      <c r="O480" t="s">
        <v>57</v>
      </c>
      <c r="P480">
        <v>5</v>
      </c>
      <c r="Q480" t="b">
        <v>1</v>
      </c>
      <c r="R480" t="s">
        <v>9</v>
      </c>
      <c r="S480">
        <v>6</v>
      </c>
      <c r="T480" t="e">
        <f>IF(#REF!&lt;=25, "Young Age", IF(#REF!&lt;=40, "Mid Age", "Old Age"))</f>
        <v>#REF!</v>
      </c>
      <c r="U480" t="str">
        <f t="shared" si="7"/>
        <v>Delayed</v>
      </c>
    </row>
    <row r="481" spans="1:21" x14ac:dyDescent="0.35">
      <c r="A481" t="s">
        <v>1117</v>
      </c>
      <c r="B481" s="13">
        <v>45143</v>
      </c>
      <c r="C481" t="s">
        <v>1118</v>
      </c>
      <c r="D481" t="s">
        <v>47</v>
      </c>
      <c r="E481" t="s">
        <v>61</v>
      </c>
      <c r="F481" t="s">
        <v>104</v>
      </c>
      <c r="G481" t="s">
        <v>23</v>
      </c>
      <c r="H481" t="s">
        <v>95</v>
      </c>
      <c r="I481">
        <v>2</v>
      </c>
      <c r="J481" s="1">
        <v>27227.5</v>
      </c>
      <c r="K481">
        <v>0.27</v>
      </c>
      <c r="L481" s="1">
        <v>53652.43</v>
      </c>
      <c r="M481" s="1">
        <v>18467.900000000001</v>
      </c>
      <c r="N481" s="1">
        <v>69.069999999999993</v>
      </c>
      <c r="O481" t="s">
        <v>36</v>
      </c>
      <c r="P481">
        <v>5</v>
      </c>
      <c r="Q481" t="b">
        <v>0</v>
      </c>
      <c r="R481" t="s">
        <v>18</v>
      </c>
      <c r="S481">
        <v>9</v>
      </c>
      <c r="T481" t="e">
        <f>IF(#REF!&lt;=25, "Young Age", IF(#REF!&lt;=40, "Mid Age", "Old Age"))</f>
        <v>#REF!</v>
      </c>
      <c r="U481" t="str">
        <f t="shared" si="7"/>
        <v>Over Delayed</v>
      </c>
    </row>
    <row r="482" spans="1:21" x14ac:dyDescent="0.35">
      <c r="A482" t="s">
        <v>1119</v>
      </c>
      <c r="B482" s="13">
        <v>45313</v>
      </c>
      <c r="C482" t="s">
        <v>1120</v>
      </c>
      <c r="D482" t="s">
        <v>13</v>
      </c>
      <c r="E482" t="s">
        <v>4</v>
      </c>
      <c r="F482" t="s">
        <v>148</v>
      </c>
      <c r="G482" t="s">
        <v>124</v>
      </c>
      <c r="H482" t="s">
        <v>195</v>
      </c>
      <c r="I482">
        <v>2</v>
      </c>
      <c r="J482" s="1">
        <v>11637.71</v>
      </c>
      <c r="K482">
        <v>0.03</v>
      </c>
      <c r="L482" s="1">
        <v>20228.5</v>
      </c>
      <c r="M482" s="1">
        <v>3894.99</v>
      </c>
      <c r="N482" s="1">
        <v>49.76</v>
      </c>
      <c r="O482" t="s">
        <v>30</v>
      </c>
      <c r="P482">
        <v>4</v>
      </c>
      <c r="Q482" t="b">
        <v>1</v>
      </c>
      <c r="R482" t="s">
        <v>9</v>
      </c>
      <c r="S482">
        <v>6</v>
      </c>
      <c r="T482" t="e">
        <f>IF(#REF!&lt;=25, "Young Age", IF(#REF!&lt;=40, "Mid Age", "Old Age"))</f>
        <v>#REF!</v>
      </c>
      <c r="U482" t="str">
        <f t="shared" si="7"/>
        <v>Delayed</v>
      </c>
    </row>
    <row r="483" spans="1:21" x14ac:dyDescent="0.35">
      <c r="A483" t="s">
        <v>1121</v>
      </c>
      <c r="B483" s="13">
        <v>44863</v>
      </c>
      <c r="C483" t="s">
        <v>1122</v>
      </c>
      <c r="D483" t="s">
        <v>13</v>
      </c>
      <c r="E483" t="s">
        <v>89</v>
      </c>
      <c r="F483" t="s">
        <v>299</v>
      </c>
      <c r="G483" t="s">
        <v>41</v>
      </c>
      <c r="H483" t="s">
        <v>42</v>
      </c>
      <c r="I483">
        <v>10</v>
      </c>
      <c r="J483" s="1">
        <v>1494.95</v>
      </c>
      <c r="K483">
        <v>0.38</v>
      </c>
      <c r="L483" s="1">
        <v>9412.99</v>
      </c>
      <c r="M483" s="1">
        <v>4806.7700000000004</v>
      </c>
      <c r="N483" s="1">
        <v>81.37</v>
      </c>
      <c r="O483" t="s">
        <v>49</v>
      </c>
      <c r="P483" t="s">
        <v>2149</v>
      </c>
      <c r="Q483" t="b">
        <v>1</v>
      </c>
      <c r="R483" t="s">
        <v>9</v>
      </c>
      <c r="S483">
        <v>6</v>
      </c>
      <c r="T483" t="e">
        <f>IF(#REF!&lt;=25, "Young Age", IF(#REF!&lt;=40, "Mid Age", "Old Age"))</f>
        <v>#REF!</v>
      </c>
      <c r="U483" t="str">
        <f t="shared" si="7"/>
        <v>Delayed</v>
      </c>
    </row>
    <row r="484" spans="1:21" x14ac:dyDescent="0.35">
      <c r="A484" t="s">
        <v>1123</v>
      </c>
      <c r="B484" s="13">
        <v>43992</v>
      </c>
      <c r="C484" t="s">
        <v>1124</v>
      </c>
      <c r="D484" t="s">
        <v>13</v>
      </c>
      <c r="E484" t="s">
        <v>4</v>
      </c>
      <c r="F484" t="s">
        <v>48</v>
      </c>
      <c r="G484" t="s">
        <v>55</v>
      </c>
      <c r="H484" t="s">
        <v>185</v>
      </c>
      <c r="I484">
        <v>2</v>
      </c>
      <c r="J484" s="1">
        <v>1835.19</v>
      </c>
      <c r="K484">
        <v>0.03</v>
      </c>
      <c r="L484" s="1">
        <v>4360.6899999999996</v>
      </c>
      <c r="M484" s="1">
        <v>1812.7</v>
      </c>
      <c r="N484" s="1">
        <v>37.119999999999997</v>
      </c>
      <c r="O484" t="s">
        <v>30</v>
      </c>
      <c r="P484">
        <v>5</v>
      </c>
      <c r="Q484" t="b">
        <v>0</v>
      </c>
      <c r="R484" t="s">
        <v>18</v>
      </c>
      <c r="S484">
        <v>2</v>
      </c>
      <c r="T484" t="e">
        <f>IF(#REF!&lt;=25, "Young Age", IF(#REF!&lt;=40, "Mid Age", "Old Age"))</f>
        <v>#REF!</v>
      </c>
      <c r="U484" t="str">
        <f t="shared" si="7"/>
        <v>Okay</v>
      </c>
    </row>
    <row r="485" spans="1:21" x14ac:dyDescent="0.35">
      <c r="A485" t="s">
        <v>1125</v>
      </c>
      <c r="B485" s="13">
        <v>44166</v>
      </c>
      <c r="C485" t="s">
        <v>1126</v>
      </c>
      <c r="D485" t="s">
        <v>3</v>
      </c>
      <c r="E485" t="s">
        <v>4</v>
      </c>
      <c r="F485" t="s">
        <v>148</v>
      </c>
      <c r="G485" t="s">
        <v>55</v>
      </c>
      <c r="H485" t="s">
        <v>100</v>
      </c>
      <c r="I485">
        <v>2</v>
      </c>
      <c r="J485" s="1">
        <v>3263.53</v>
      </c>
      <c r="K485">
        <v>0.28000000000000003</v>
      </c>
      <c r="L485" s="1">
        <v>3766.06</v>
      </c>
      <c r="M485" s="1">
        <v>1284.73</v>
      </c>
      <c r="N485" s="1">
        <v>57.51</v>
      </c>
      <c r="O485" t="s">
        <v>36</v>
      </c>
      <c r="P485">
        <v>2</v>
      </c>
      <c r="Q485" t="b">
        <v>0</v>
      </c>
      <c r="R485" t="s">
        <v>18</v>
      </c>
      <c r="S485">
        <v>10</v>
      </c>
      <c r="T485" t="e">
        <f>IF(#REF!&lt;=25, "Young Age", IF(#REF!&lt;=40, "Mid Age", "Old Age"))</f>
        <v>#REF!</v>
      </c>
      <c r="U485" t="str">
        <f t="shared" si="7"/>
        <v>Over Delayed</v>
      </c>
    </row>
    <row r="486" spans="1:21" x14ac:dyDescent="0.35">
      <c r="A486" t="s">
        <v>1127</v>
      </c>
      <c r="B486" s="13">
        <v>44675</v>
      </c>
      <c r="C486" t="s">
        <v>1128</v>
      </c>
      <c r="D486" t="s">
        <v>47</v>
      </c>
      <c r="E486" t="s">
        <v>61</v>
      </c>
      <c r="F486" t="s">
        <v>271</v>
      </c>
      <c r="G486" t="s">
        <v>41</v>
      </c>
      <c r="H486" t="s">
        <v>244</v>
      </c>
      <c r="I486">
        <v>5</v>
      </c>
      <c r="J486" s="1">
        <v>610.98</v>
      </c>
      <c r="K486">
        <v>0.16</v>
      </c>
      <c r="L486" s="1">
        <v>3679.38</v>
      </c>
      <c r="M486" s="1">
        <v>1422.56</v>
      </c>
      <c r="N486" s="1">
        <v>53.99</v>
      </c>
      <c r="O486" t="s">
        <v>43</v>
      </c>
      <c r="P486">
        <v>4</v>
      </c>
      <c r="Q486" t="b">
        <v>0</v>
      </c>
      <c r="R486" t="s">
        <v>18</v>
      </c>
      <c r="S486">
        <v>4</v>
      </c>
      <c r="T486" t="e">
        <f>IF(#REF!&lt;=25, "Young Age", IF(#REF!&lt;=40, "Mid Age", "Old Age"))</f>
        <v>#REF!</v>
      </c>
      <c r="U486" t="str">
        <f t="shared" si="7"/>
        <v>Okay</v>
      </c>
    </row>
    <row r="487" spans="1:21" x14ac:dyDescent="0.35">
      <c r="A487" t="s">
        <v>1129</v>
      </c>
      <c r="B487" s="13">
        <v>44975</v>
      </c>
      <c r="C487" t="s">
        <v>1130</v>
      </c>
      <c r="D487" t="s">
        <v>13</v>
      </c>
      <c r="E487" t="s">
        <v>53</v>
      </c>
      <c r="F487" t="s">
        <v>114</v>
      </c>
      <c r="G487" t="s">
        <v>41</v>
      </c>
      <c r="H487" t="s">
        <v>85</v>
      </c>
      <c r="I487">
        <v>4</v>
      </c>
      <c r="J487" s="1">
        <v>1488.05</v>
      </c>
      <c r="K487">
        <v>0.16</v>
      </c>
      <c r="L487" s="1">
        <v>5878.72</v>
      </c>
      <c r="M487" s="1">
        <v>1895.88</v>
      </c>
      <c r="N487" s="1">
        <v>33.950000000000003</v>
      </c>
      <c r="O487" t="s">
        <v>8</v>
      </c>
      <c r="P487">
        <v>3</v>
      </c>
      <c r="Q487" t="b">
        <v>1</v>
      </c>
      <c r="R487" t="s">
        <v>9</v>
      </c>
      <c r="S487">
        <v>9</v>
      </c>
      <c r="T487" t="e">
        <f>IF(#REF!&lt;=25, "Young Age", IF(#REF!&lt;=40, "Mid Age", "Old Age"))</f>
        <v>#REF!</v>
      </c>
      <c r="U487" t="str">
        <f t="shared" si="7"/>
        <v>Over Delayed</v>
      </c>
    </row>
    <row r="488" spans="1:21" x14ac:dyDescent="0.35">
      <c r="A488" t="s">
        <v>1131</v>
      </c>
      <c r="B488" s="13">
        <v>44132</v>
      </c>
      <c r="C488" t="s">
        <v>1132</v>
      </c>
      <c r="D488" t="s">
        <v>47</v>
      </c>
      <c r="E488" t="s">
        <v>89</v>
      </c>
      <c r="F488" t="s">
        <v>299</v>
      </c>
      <c r="G488" t="s">
        <v>41</v>
      </c>
      <c r="H488" t="s">
        <v>261</v>
      </c>
      <c r="I488">
        <v>8</v>
      </c>
      <c r="J488" s="1">
        <v>513.63</v>
      </c>
      <c r="K488">
        <v>0.17</v>
      </c>
      <c r="L488" s="1">
        <v>2804.09</v>
      </c>
      <c r="M488" s="1">
        <v>1009.57</v>
      </c>
      <c r="N488" s="1">
        <v>48.54</v>
      </c>
      <c r="O488" t="s">
        <v>43</v>
      </c>
      <c r="P488">
        <v>4</v>
      </c>
      <c r="Q488" t="b">
        <v>0</v>
      </c>
      <c r="R488" t="s">
        <v>175</v>
      </c>
      <c r="S488">
        <v>1</v>
      </c>
      <c r="T488" t="e">
        <f>IF(#REF!&lt;=25, "Young Age", IF(#REF!&lt;=40, "Mid Age", "Old Age"))</f>
        <v>#REF!</v>
      </c>
      <c r="U488" t="str">
        <f t="shared" si="7"/>
        <v>Okay</v>
      </c>
    </row>
    <row r="489" spans="1:21" x14ac:dyDescent="0.35">
      <c r="A489" t="s">
        <v>1133</v>
      </c>
      <c r="B489" s="13">
        <v>43979</v>
      </c>
      <c r="C489" t="s">
        <v>1134</v>
      </c>
      <c r="D489" t="s">
        <v>3</v>
      </c>
      <c r="E489" t="s">
        <v>61</v>
      </c>
      <c r="F489" t="s">
        <v>271</v>
      </c>
      <c r="G489" t="s">
        <v>6</v>
      </c>
      <c r="H489" t="s">
        <v>7</v>
      </c>
      <c r="I489">
        <v>9</v>
      </c>
      <c r="J489" s="1">
        <v>213.6</v>
      </c>
      <c r="K489">
        <v>0.32</v>
      </c>
      <c r="L489" s="1">
        <v>1665.43</v>
      </c>
      <c r="M489" s="1">
        <v>193.99</v>
      </c>
      <c r="N489" s="1">
        <v>101.52</v>
      </c>
      <c r="O489" t="s">
        <v>36</v>
      </c>
      <c r="P489">
        <v>4</v>
      </c>
      <c r="Q489" t="b">
        <v>0</v>
      </c>
      <c r="R489" t="s">
        <v>63</v>
      </c>
      <c r="S489">
        <v>4</v>
      </c>
      <c r="T489" t="e">
        <f>IF(#REF!&lt;=25, "Young Age", IF(#REF!&lt;=40, "Mid Age", "Old Age"))</f>
        <v>#REF!</v>
      </c>
      <c r="U489" t="str">
        <f t="shared" si="7"/>
        <v>Okay</v>
      </c>
    </row>
    <row r="490" spans="1:21" x14ac:dyDescent="0.35">
      <c r="A490" t="s">
        <v>1135</v>
      </c>
      <c r="B490" s="13">
        <v>45320</v>
      </c>
      <c r="C490" t="s">
        <v>1136</v>
      </c>
      <c r="D490" t="s">
        <v>3</v>
      </c>
      <c r="E490" t="s">
        <v>53</v>
      </c>
      <c r="F490" t="s">
        <v>54</v>
      </c>
      <c r="G490" t="s">
        <v>16</v>
      </c>
      <c r="H490" t="s">
        <v>17</v>
      </c>
      <c r="I490">
        <v>4</v>
      </c>
      <c r="J490" s="1">
        <v>1120.04</v>
      </c>
      <c r="K490">
        <v>0</v>
      </c>
      <c r="L490" s="1">
        <v>4784.7</v>
      </c>
      <c r="M490" s="1">
        <v>1051.2</v>
      </c>
      <c r="N490" s="1">
        <v>70.2</v>
      </c>
      <c r="O490" t="s">
        <v>49</v>
      </c>
      <c r="P490">
        <v>5</v>
      </c>
      <c r="Q490" t="b">
        <v>0</v>
      </c>
      <c r="R490" t="s">
        <v>18</v>
      </c>
      <c r="S490">
        <v>6</v>
      </c>
      <c r="T490" t="e">
        <f>IF(#REF!&lt;=25, "Young Age", IF(#REF!&lt;=40, "Mid Age", "Old Age"))</f>
        <v>#REF!</v>
      </c>
      <c r="U490" t="str">
        <f t="shared" si="7"/>
        <v>Delayed</v>
      </c>
    </row>
    <row r="491" spans="1:21" x14ac:dyDescent="0.35">
      <c r="A491" t="s">
        <v>1137</v>
      </c>
      <c r="B491" s="13">
        <v>44744</v>
      </c>
      <c r="C491" t="s">
        <v>1138</v>
      </c>
      <c r="D491" t="s">
        <v>47</v>
      </c>
      <c r="E491" t="s">
        <v>53</v>
      </c>
      <c r="F491" t="s">
        <v>79</v>
      </c>
      <c r="G491" t="s">
        <v>105</v>
      </c>
      <c r="H491" t="s">
        <v>120</v>
      </c>
      <c r="I491">
        <v>5</v>
      </c>
      <c r="J491" s="1">
        <v>14814.19</v>
      </c>
      <c r="K491">
        <v>0</v>
      </c>
      <c r="L491" s="1">
        <v>105694.63</v>
      </c>
      <c r="M491" s="1">
        <v>11127.91</v>
      </c>
      <c r="N491" s="1">
        <v>56.42</v>
      </c>
      <c r="O491" t="s">
        <v>8</v>
      </c>
      <c r="P491">
        <v>3</v>
      </c>
      <c r="Q491" t="b">
        <v>0</v>
      </c>
      <c r="R491" t="s">
        <v>37</v>
      </c>
      <c r="S491">
        <v>1</v>
      </c>
      <c r="T491" t="e">
        <f>IF(#REF!&lt;=25, "Young Age", IF(#REF!&lt;=40, "Mid Age", "Old Age"))</f>
        <v>#REF!</v>
      </c>
      <c r="U491" t="str">
        <f t="shared" si="7"/>
        <v>Okay</v>
      </c>
    </row>
    <row r="492" spans="1:21" x14ac:dyDescent="0.35">
      <c r="A492" t="s">
        <v>1139</v>
      </c>
      <c r="B492" s="13">
        <v>44048</v>
      </c>
      <c r="C492" t="s">
        <v>1140</v>
      </c>
      <c r="D492" t="s">
        <v>3</v>
      </c>
      <c r="E492" t="s">
        <v>61</v>
      </c>
      <c r="F492" t="s">
        <v>104</v>
      </c>
      <c r="G492" t="s">
        <v>6</v>
      </c>
      <c r="H492" t="s">
        <v>353</v>
      </c>
      <c r="I492">
        <v>4</v>
      </c>
      <c r="J492" s="1">
        <v>57.97</v>
      </c>
      <c r="K492">
        <v>0.1</v>
      </c>
      <c r="L492" s="1">
        <v>258.54000000000002</v>
      </c>
      <c r="M492" s="1">
        <v>16.670000000000002</v>
      </c>
      <c r="N492" s="1">
        <v>74.150000000000006</v>
      </c>
      <c r="O492" t="s">
        <v>36</v>
      </c>
      <c r="P492">
        <v>3</v>
      </c>
      <c r="Q492" t="b">
        <v>0</v>
      </c>
      <c r="R492" t="s">
        <v>18</v>
      </c>
      <c r="S492">
        <v>9</v>
      </c>
      <c r="T492" t="e">
        <f>IF(#REF!&lt;=25, "Young Age", IF(#REF!&lt;=40, "Mid Age", "Old Age"))</f>
        <v>#REF!</v>
      </c>
      <c r="U492" t="str">
        <f t="shared" si="7"/>
        <v>Over Delayed</v>
      </c>
    </row>
    <row r="493" spans="1:21" x14ac:dyDescent="0.35">
      <c r="A493" t="s">
        <v>1141</v>
      </c>
      <c r="B493" s="13">
        <v>44287</v>
      </c>
      <c r="C493" t="s">
        <v>1142</v>
      </c>
      <c r="D493" t="s">
        <v>13</v>
      </c>
      <c r="E493" t="s">
        <v>4</v>
      </c>
      <c r="F493" t="s">
        <v>48</v>
      </c>
      <c r="G493" t="s">
        <v>6</v>
      </c>
      <c r="H493" t="s">
        <v>387</v>
      </c>
      <c r="I493">
        <v>2</v>
      </c>
      <c r="J493" s="1">
        <v>438.16</v>
      </c>
      <c r="K493">
        <v>0.25</v>
      </c>
      <c r="L493" s="1">
        <v>855.21</v>
      </c>
      <c r="M493" s="1">
        <v>70.3</v>
      </c>
      <c r="N493" s="1">
        <v>76.819999999999993</v>
      </c>
      <c r="O493" t="s">
        <v>8</v>
      </c>
      <c r="P493">
        <v>5</v>
      </c>
      <c r="Q493" t="b">
        <v>0</v>
      </c>
      <c r="R493" t="s">
        <v>18</v>
      </c>
      <c r="S493">
        <v>2</v>
      </c>
      <c r="T493" t="e">
        <f>IF(#REF!&lt;=25, "Young Age", IF(#REF!&lt;=40, "Mid Age", "Old Age"))</f>
        <v>#REF!</v>
      </c>
      <c r="U493" t="str">
        <f t="shared" si="7"/>
        <v>Okay</v>
      </c>
    </row>
    <row r="494" spans="1:21" x14ac:dyDescent="0.35">
      <c r="A494" t="s">
        <v>1143</v>
      </c>
      <c r="B494" s="13">
        <v>44477</v>
      </c>
      <c r="C494" t="s">
        <v>1144</v>
      </c>
      <c r="D494" t="s">
        <v>13</v>
      </c>
      <c r="E494" t="s">
        <v>53</v>
      </c>
      <c r="F494" t="s">
        <v>170</v>
      </c>
      <c r="G494" t="s">
        <v>6</v>
      </c>
      <c r="H494" t="s">
        <v>35</v>
      </c>
      <c r="I494">
        <v>5</v>
      </c>
      <c r="J494" s="1">
        <v>312.3</v>
      </c>
      <c r="K494">
        <v>0.12</v>
      </c>
      <c r="L494" s="1">
        <v>1270.29</v>
      </c>
      <c r="M494" s="1">
        <v>110.96</v>
      </c>
      <c r="N494" s="1">
        <v>25.67</v>
      </c>
      <c r="O494" t="s">
        <v>43</v>
      </c>
      <c r="P494">
        <v>3</v>
      </c>
      <c r="Q494" t="b">
        <v>0</v>
      </c>
      <c r="R494" t="s">
        <v>18</v>
      </c>
      <c r="S494">
        <v>8</v>
      </c>
      <c r="T494" t="e">
        <f>IF(#REF!&lt;=25, "Young Age", IF(#REF!&lt;=40, "Mid Age", "Old Age"))</f>
        <v>#REF!</v>
      </c>
      <c r="U494" t="str">
        <f t="shared" si="7"/>
        <v>Over Delayed</v>
      </c>
    </row>
    <row r="495" spans="1:21" x14ac:dyDescent="0.35">
      <c r="A495" t="s">
        <v>1145</v>
      </c>
      <c r="B495" s="13">
        <v>45479</v>
      </c>
      <c r="C495" t="s">
        <v>1146</v>
      </c>
      <c r="D495" t="s">
        <v>47</v>
      </c>
      <c r="E495" t="s">
        <v>89</v>
      </c>
      <c r="F495" t="s">
        <v>99</v>
      </c>
      <c r="G495" t="s">
        <v>55</v>
      </c>
      <c r="H495" t="s">
        <v>91</v>
      </c>
      <c r="I495">
        <v>8</v>
      </c>
      <c r="J495" s="1">
        <v>3182.92</v>
      </c>
      <c r="K495">
        <v>0.17</v>
      </c>
      <c r="L495" s="1">
        <v>35409.06</v>
      </c>
      <c r="M495" s="1">
        <v>17485.080000000002</v>
      </c>
      <c r="N495" s="1">
        <v>81.77</v>
      </c>
      <c r="O495" t="s">
        <v>57</v>
      </c>
      <c r="P495">
        <v>5</v>
      </c>
      <c r="Q495" t="b">
        <v>0</v>
      </c>
      <c r="R495" t="s">
        <v>18</v>
      </c>
      <c r="S495">
        <v>9</v>
      </c>
      <c r="T495" t="e">
        <f>IF(#REF!&lt;=25, "Young Age", IF(#REF!&lt;=40, "Mid Age", "Old Age"))</f>
        <v>#REF!</v>
      </c>
      <c r="U495" t="str">
        <f t="shared" si="7"/>
        <v>Over Delayed</v>
      </c>
    </row>
    <row r="496" spans="1:21" x14ac:dyDescent="0.35">
      <c r="A496" t="s">
        <v>1147</v>
      </c>
      <c r="B496" s="13">
        <v>44722</v>
      </c>
      <c r="C496" t="s">
        <v>1148</v>
      </c>
      <c r="D496" t="s">
        <v>47</v>
      </c>
      <c r="E496" t="s">
        <v>61</v>
      </c>
      <c r="F496" t="s">
        <v>104</v>
      </c>
      <c r="G496" t="s">
        <v>55</v>
      </c>
      <c r="H496" t="s">
        <v>67</v>
      </c>
      <c r="I496">
        <v>3</v>
      </c>
      <c r="J496" s="1">
        <v>1256.1600000000001</v>
      </c>
      <c r="K496">
        <v>0.05</v>
      </c>
      <c r="L496" s="1">
        <v>5186.09</v>
      </c>
      <c r="M496" s="1">
        <v>2331.2600000000002</v>
      </c>
      <c r="N496" s="1">
        <v>90.36</v>
      </c>
      <c r="O496" t="s">
        <v>30</v>
      </c>
      <c r="P496">
        <v>5</v>
      </c>
      <c r="Q496" t="b">
        <v>0</v>
      </c>
      <c r="R496" t="s">
        <v>18</v>
      </c>
      <c r="S496">
        <v>9</v>
      </c>
      <c r="T496" t="e">
        <f>IF(#REF!&lt;=25, "Young Age", IF(#REF!&lt;=40, "Mid Age", "Old Age"))</f>
        <v>#REF!</v>
      </c>
      <c r="U496" t="str">
        <f t="shared" si="7"/>
        <v>Over Delayed</v>
      </c>
    </row>
    <row r="497" spans="1:21" x14ac:dyDescent="0.35">
      <c r="A497" t="s">
        <v>1149</v>
      </c>
      <c r="B497" s="13">
        <v>43926</v>
      </c>
      <c r="C497" t="s">
        <v>1150</v>
      </c>
      <c r="D497" t="s">
        <v>13</v>
      </c>
      <c r="E497" t="s">
        <v>4</v>
      </c>
      <c r="F497" t="s">
        <v>148</v>
      </c>
      <c r="G497" t="s">
        <v>16</v>
      </c>
      <c r="H497" t="s">
        <v>209</v>
      </c>
      <c r="I497">
        <v>9</v>
      </c>
      <c r="J497" s="1">
        <v>1356.81</v>
      </c>
      <c r="K497">
        <v>0.01</v>
      </c>
      <c r="L497" s="1">
        <v>13938.43</v>
      </c>
      <c r="M497" s="1">
        <v>5273.14</v>
      </c>
      <c r="N497" s="1">
        <v>76.63</v>
      </c>
      <c r="O497" t="s">
        <v>49</v>
      </c>
      <c r="P497">
        <v>3</v>
      </c>
      <c r="Q497" t="b">
        <v>0</v>
      </c>
      <c r="R497" t="s">
        <v>18</v>
      </c>
      <c r="S497">
        <v>4</v>
      </c>
      <c r="T497" t="e">
        <f>IF(#REF!&lt;=25, "Young Age", IF(#REF!&lt;=40, "Mid Age", "Old Age"))</f>
        <v>#REF!</v>
      </c>
      <c r="U497" t="str">
        <f t="shared" si="7"/>
        <v>Okay</v>
      </c>
    </row>
    <row r="498" spans="1:21" x14ac:dyDescent="0.35">
      <c r="A498" t="s">
        <v>1151</v>
      </c>
      <c r="B498" s="13">
        <v>43885</v>
      </c>
      <c r="C498" t="s">
        <v>1152</v>
      </c>
      <c r="D498" t="s">
        <v>47</v>
      </c>
      <c r="E498" t="s">
        <v>61</v>
      </c>
      <c r="F498" t="s">
        <v>62</v>
      </c>
      <c r="G498" t="s">
        <v>16</v>
      </c>
      <c r="H498" t="s">
        <v>17</v>
      </c>
      <c r="I498">
        <v>3</v>
      </c>
      <c r="J498" s="1">
        <v>1655.54</v>
      </c>
      <c r="K498">
        <v>0.25</v>
      </c>
      <c r="L498" s="1">
        <v>2825.92</v>
      </c>
      <c r="M498" s="1">
        <v>1777.23</v>
      </c>
      <c r="N498" s="1">
        <v>81.69</v>
      </c>
      <c r="O498" t="s">
        <v>57</v>
      </c>
      <c r="P498">
        <v>3</v>
      </c>
      <c r="Q498" t="b">
        <v>0</v>
      </c>
      <c r="R498" t="s">
        <v>18</v>
      </c>
      <c r="S498">
        <v>5</v>
      </c>
      <c r="T498" t="e">
        <f>IF(#REF!&lt;=25, "Young Age", IF(#REF!&lt;=40, "Mid Age", "Old Age"))</f>
        <v>#REF!</v>
      </c>
      <c r="U498" t="str">
        <f t="shared" si="7"/>
        <v>Delayed</v>
      </c>
    </row>
    <row r="499" spans="1:21" x14ac:dyDescent="0.35">
      <c r="A499" t="s">
        <v>1153</v>
      </c>
      <c r="B499" s="13">
        <v>45050</v>
      </c>
      <c r="C499" t="s">
        <v>1154</v>
      </c>
      <c r="D499" t="s">
        <v>3</v>
      </c>
      <c r="E499" t="s">
        <v>89</v>
      </c>
      <c r="F499" t="s">
        <v>90</v>
      </c>
      <c r="G499" t="s">
        <v>16</v>
      </c>
      <c r="H499" t="s">
        <v>80</v>
      </c>
      <c r="I499">
        <v>6</v>
      </c>
      <c r="J499" s="1">
        <v>2373.35</v>
      </c>
      <c r="K499">
        <v>0.3</v>
      </c>
      <c r="L499" s="1">
        <v>15281.74</v>
      </c>
      <c r="M499" s="1">
        <v>8565.14</v>
      </c>
      <c r="N499" s="1">
        <v>54.97</v>
      </c>
      <c r="O499" t="s">
        <v>43</v>
      </c>
      <c r="P499">
        <v>3</v>
      </c>
      <c r="Q499" t="b">
        <v>0</v>
      </c>
      <c r="R499" t="s">
        <v>18</v>
      </c>
      <c r="S499">
        <v>3</v>
      </c>
      <c r="T499" t="e">
        <f>IF(#REF!&lt;=25, "Young Age", IF(#REF!&lt;=40, "Mid Age", "Old Age"))</f>
        <v>#REF!</v>
      </c>
      <c r="U499" t="str">
        <f t="shared" si="7"/>
        <v>Okay</v>
      </c>
    </row>
    <row r="500" spans="1:21" x14ac:dyDescent="0.35">
      <c r="A500" t="s">
        <v>1155</v>
      </c>
      <c r="B500" s="13">
        <v>44867</v>
      </c>
      <c r="C500" t="s">
        <v>1156</v>
      </c>
      <c r="D500" t="s">
        <v>3</v>
      </c>
      <c r="E500" t="s">
        <v>53</v>
      </c>
      <c r="F500" t="s">
        <v>170</v>
      </c>
      <c r="G500" t="s">
        <v>55</v>
      </c>
      <c r="H500" t="s">
        <v>100</v>
      </c>
      <c r="I500">
        <v>3</v>
      </c>
      <c r="J500" s="1">
        <v>1457.48</v>
      </c>
      <c r="K500">
        <v>0.04</v>
      </c>
      <c r="L500" s="1">
        <v>3326.03</v>
      </c>
      <c r="M500" s="1">
        <v>1139.23</v>
      </c>
      <c r="N500" s="1">
        <v>47.06</v>
      </c>
      <c r="O500" t="s">
        <v>49</v>
      </c>
      <c r="P500">
        <v>5</v>
      </c>
      <c r="Q500" t="b">
        <v>0</v>
      </c>
      <c r="R500" t="s">
        <v>18</v>
      </c>
      <c r="S500">
        <v>10</v>
      </c>
      <c r="T500" t="e">
        <f>IF(#REF!&lt;=25, "Young Age", IF(#REF!&lt;=40, "Mid Age", "Old Age"))</f>
        <v>#REF!</v>
      </c>
      <c r="U500" t="str">
        <f t="shared" si="7"/>
        <v>Over Delayed</v>
      </c>
    </row>
    <row r="501" spans="1:21" x14ac:dyDescent="0.35">
      <c r="A501" t="s">
        <v>1157</v>
      </c>
      <c r="B501" s="13">
        <v>44107</v>
      </c>
      <c r="C501" t="s">
        <v>1158</v>
      </c>
      <c r="D501" t="s">
        <v>47</v>
      </c>
      <c r="E501" t="s">
        <v>89</v>
      </c>
      <c r="F501" t="s">
        <v>99</v>
      </c>
      <c r="G501" t="s">
        <v>105</v>
      </c>
      <c r="H501" t="s">
        <v>282</v>
      </c>
      <c r="I501">
        <v>4</v>
      </c>
      <c r="J501" s="1">
        <v>72305.61</v>
      </c>
      <c r="K501">
        <v>0.03</v>
      </c>
      <c r="L501" s="1">
        <v>221219.87</v>
      </c>
      <c r="M501" s="1">
        <v>28168.080000000002</v>
      </c>
      <c r="N501" s="1">
        <v>54.29</v>
      </c>
      <c r="O501" t="s">
        <v>8</v>
      </c>
      <c r="P501">
        <v>4</v>
      </c>
      <c r="Q501" t="b">
        <v>1</v>
      </c>
      <c r="R501" t="s">
        <v>9</v>
      </c>
      <c r="S501">
        <v>10</v>
      </c>
      <c r="T501" t="e">
        <f>IF(#REF!&lt;=25, "Young Age", IF(#REF!&lt;=40, "Mid Age", "Old Age"))</f>
        <v>#REF!</v>
      </c>
      <c r="U501" t="str">
        <f t="shared" si="7"/>
        <v>Over Delayed</v>
      </c>
    </row>
    <row r="502" spans="1:21" x14ac:dyDescent="0.35">
      <c r="A502" t="s">
        <v>1159</v>
      </c>
      <c r="B502" s="13">
        <v>44275</v>
      </c>
      <c r="C502" t="s">
        <v>1160</v>
      </c>
      <c r="D502" t="s">
        <v>3</v>
      </c>
      <c r="E502" t="s">
        <v>14</v>
      </c>
      <c r="F502" t="s">
        <v>15</v>
      </c>
      <c r="G502" t="s">
        <v>16</v>
      </c>
      <c r="H502" t="s">
        <v>160</v>
      </c>
      <c r="I502">
        <v>3</v>
      </c>
      <c r="J502" s="1">
        <v>956.76</v>
      </c>
      <c r="K502">
        <v>0.28000000000000003</v>
      </c>
      <c r="L502" s="1">
        <v>2408.87</v>
      </c>
      <c r="M502" s="1">
        <v>1153.68</v>
      </c>
      <c r="N502" s="1">
        <v>89.77</v>
      </c>
      <c r="O502" t="s">
        <v>49</v>
      </c>
      <c r="P502" t="s">
        <v>2149</v>
      </c>
      <c r="Q502" t="b">
        <v>0</v>
      </c>
      <c r="R502" t="s">
        <v>18</v>
      </c>
      <c r="S502">
        <v>9</v>
      </c>
      <c r="T502" t="e">
        <f>IF(#REF!&lt;=25, "Young Age", IF(#REF!&lt;=40, "Mid Age", "Old Age"))</f>
        <v>#REF!</v>
      </c>
      <c r="U502" t="str">
        <f t="shared" si="7"/>
        <v>Over Delayed</v>
      </c>
    </row>
    <row r="503" spans="1:21" x14ac:dyDescent="0.35">
      <c r="A503" t="s">
        <v>1161</v>
      </c>
      <c r="B503" s="13">
        <v>45539</v>
      </c>
      <c r="C503" t="s">
        <v>1162</v>
      </c>
      <c r="D503" t="s">
        <v>13</v>
      </c>
      <c r="E503" t="s">
        <v>14</v>
      </c>
      <c r="F503" t="s">
        <v>15</v>
      </c>
      <c r="G503" t="s">
        <v>105</v>
      </c>
      <c r="H503" t="s">
        <v>438</v>
      </c>
      <c r="I503">
        <v>3</v>
      </c>
      <c r="J503" s="1">
        <v>57941.59</v>
      </c>
      <c r="K503">
        <v>0.17</v>
      </c>
      <c r="L503" s="1">
        <v>202708.19</v>
      </c>
      <c r="M503" s="1">
        <v>27362.05</v>
      </c>
      <c r="N503" s="1">
        <v>70.62</v>
      </c>
      <c r="O503" t="s">
        <v>49</v>
      </c>
      <c r="P503">
        <v>2</v>
      </c>
      <c r="Q503" t="b">
        <v>1</v>
      </c>
      <c r="R503" t="s">
        <v>9</v>
      </c>
      <c r="S503">
        <v>5</v>
      </c>
      <c r="T503" t="e">
        <f>IF(#REF!&lt;=25, "Young Age", IF(#REF!&lt;=40, "Mid Age", "Old Age"))</f>
        <v>#REF!</v>
      </c>
      <c r="U503" t="str">
        <f t="shared" si="7"/>
        <v>Delayed</v>
      </c>
    </row>
    <row r="504" spans="1:21" x14ac:dyDescent="0.35">
      <c r="A504" t="s">
        <v>1163</v>
      </c>
      <c r="B504" s="13">
        <v>45654</v>
      </c>
      <c r="C504" t="s">
        <v>1164</v>
      </c>
      <c r="D504" t="s">
        <v>3</v>
      </c>
      <c r="E504" t="s">
        <v>61</v>
      </c>
      <c r="F504" t="s">
        <v>222</v>
      </c>
      <c r="G504" t="s">
        <v>23</v>
      </c>
      <c r="H504" t="s">
        <v>199</v>
      </c>
      <c r="I504">
        <v>9</v>
      </c>
      <c r="J504" s="1">
        <v>21875.15</v>
      </c>
      <c r="K504">
        <v>0.01</v>
      </c>
      <c r="L504" s="1">
        <v>161990.01</v>
      </c>
      <c r="M504" s="1">
        <v>51700.42</v>
      </c>
      <c r="N504" s="1">
        <v>87.08</v>
      </c>
      <c r="O504" t="s">
        <v>49</v>
      </c>
      <c r="P504">
        <v>4</v>
      </c>
      <c r="Q504" t="b">
        <v>0</v>
      </c>
      <c r="R504" t="s">
        <v>18</v>
      </c>
      <c r="S504">
        <v>10</v>
      </c>
      <c r="T504" t="e">
        <f>IF(#REF!&lt;=25, "Young Age", IF(#REF!&lt;=40, "Mid Age", "Old Age"))</f>
        <v>#REF!</v>
      </c>
      <c r="U504" t="str">
        <f t="shared" si="7"/>
        <v>Over Delayed</v>
      </c>
    </row>
    <row r="505" spans="1:21" x14ac:dyDescent="0.35">
      <c r="A505" t="s">
        <v>1165</v>
      </c>
      <c r="B505" s="13">
        <v>45401</v>
      </c>
      <c r="C505" t="s">
        <v>1166</v>
      </c>
      <c r="D505" t="s">
        <v>3</v>
      </c>
      <c r="E505" t="s">
        <v>14</v>
      </c>
      <c r="F505" t="s">
        <v>22</v>
      </c>
      <c r="G505" t="s">
        <v>105</v>
      </c>
      <c r="H505" t="s">
        <v>120</v>
      </c>
      <c r="I505">
        <v>5</v>
      </c>
      <c r="J505" s="1">
        <v>48881.01</v>
      </c>
      <c r="K505">
        <v>0.28999999999999998</v>
      </c>
      <c r="L505" s="1">
        <v>271257.62</v>
      </c>
      <c r="M505" s="1">
        <v>14499.23</v>
      </c>
      <c r="N505" s="1">
        <v>74.540000000000006</v>
      </c>
      <c r="O505" t="s">
        <v>57</v>
      </c>
      <c r="P505">
        <v>4</v>
      </c>
      <c r="Q505" t="b">
        <v>0</v>
      </c>
      <c r="R505" t="s">
        <v>1167</v>
      </c>
      <c r="S505">
        <v>2</v>
      </c>
      <c r="T505" t="e">
        <f>IF(#REF!&lt;=25, "Young Age", IF(#REF!&lt;=40, "Mid Age", "Old Age"))</f>
        <v>#REF!</v>
      </c>
      <c r="U505" t="str">
        <f t="shared" si="7"/>
        <v>Okay</v>
      </c>
    </row>
    <row r="506" spans="1:21" x14ac:dyDescent="0.35">
      <c r="A506" t="s">
        <v>1168</v>
      </c>
      <c r="B506" s="13">
        <v>44454</v>
      </c>
      <c r="C506" t="s">
        <v>1169</v>
      </c>
      <c r="D506" t="s">
        <v>3</v>
      </c>
      <c r="E506" t="s">
        <v>61</v>
      </c>
      <c r="F506" t="s">
        <v>222</v>
      </c>
      <c r="G506" t="s">
        <v>41</v>
      </c>
      <c r="H506" t="s">
        <v>129</v>
      </c>
      <c r="I506">
        <v>1</v>
      </c>
      <c r="J506" s="1">
        <v>1391.59</v>
      </c>
      <c r="K506">
        <v>0.04</v>
      </c>
      <c r="L506" s="1">
        <v>1424.19</v>
      </c>
      <c r="M506" s="1">
        <v>496.68</v>
      </c>
      <c r="N506" s="1">
        <v>84.05</v>
      </c>
      <c r="O506" t="s">
        <v>36</v>
      </c>
      <c r="P506">
        <v>4</v>
      </c>
      <c r="Q506" t="b">
        <v>0</v>
      </c>
      <c r="R506" t="s">
        <v>115</v>
      </c>
      <c r="S506">
        <v>5</v>
      </c>
      <c r="T506" t="e">
        <f>IF(#REF!&lt;=25, "Young Age", IF(#REF!&lt;=40, "Mid Age", "Old Age"))</f>
        <v>#REF!</v>
      </c>
      <c r="U506" t="str">
        <f t="shared" si="7"/>
        <v>Delayed</v>
      </c>
    </row>
    <row r="507" spans="1:21" x14ac:dyDescent="0.35">
      <c r="A507" t="s">
        <v>1170</v>
      </c>
      <c r="B507" s="13">
        <v>45010</v>
      </c>
      <c r="C507" t="s">
        <v>1171</v>
      </c>
      <c r="D507" t="s">
        <v>47</v>
      </c>
      <c r="E507" t="s">
        <v>14</v>
      </c>
      <c r="F507" t="s">
        <v>22</v>
      </c>
      <c r="G507" t="s">
        <v>23</v>
      </c>
      <c r="H507" t="s">
        <v>29</v>
      </c>
      <c r="I507">
        <v>6</v>
      </c>
      <c r="J507" s="1">
        <v>16778.259999999998</v>
      </c>
      <c r="K507">
        <v>0.34</v>
      </c>
      <c r="L507" s="1">
        <v>79749.850000000006</v>
      </c>
      <c r="M507" s="1">
        <v>20899.580000000002</v>
      </c>
      <c r="N507" s="1">
        <v>68.680000000000007</v>
      </c>
      <c r="O507" t="s">
        <v>57</v>
      </c>
      <c r="P507">
        <v>3</v>
      </c>
      <c r="Q507" t="b">
        <v>0</v>
      </c>
      <c r="R507" t="s">
        <v>18</v>
      </c>
      <c r="S507">
        <v>9</v>
      </c>
      <c r="T507" t="e">
        <f>IF(#REF!&lt;=25, "Young Age", IF(#REF!&lt;=40, "Mid Age", "Old Age"))</f>
        <v>#REF!</v>
      </c>
      <c r="U507" t="str">
        <f t="shared" si="7"/>
        <v>Over Delayed</v>
      </c>
    </row>
    <row r="508" spans="1:21" x14ac:dyDescent="0.35">
      <c r="A508" t="s">
        <v>1172</v>
      </c>
      <c r="B508" s="13">
        <v>44184</v>
      </c>
      <c r="C508" t="s">
        <v>1173</v>
      </c>
      <c r="D508" t="s">
        <v>47</v>
      </c>
      <c r="E508" t="s">
        <v>53</v>
      </c>
      <c r="F508" t="s">
        <v>54</v>
      </c>
      <c r="G508" t="s">
        <v>105</v>
      </c>
      <c r="H508" t="s">
        <v>174</v>
      </c>
      <c r="I508">
        <v>9</v>
      </c>
      <c r="J508" s="1">
        <v>59205.69</v>
      </c>
      <c r="K508">
        <v>0.28999999999999998</v>
      </c>
      <c r="L508" s="1">
        <v>281237.44</v>
      </c>
      <c r="M508" s="1">
        <v>26659.17</v>
      </c>
      <c r="N508" s="1">
        <v>68.680000000000007</v>
      </c>
      <c r="O508" t="s">
        <v>8</v>
      </c>
      <c r="P508">
        <v>4</v>
      </c>
      <c r="Q508" t="b">
        <v>0</v>
      </c>
      <c r="R508" t="s">
        <v>18</v>
      </c>
      <c r="S508">
        <v>8</v>
      </c>
      <c r="T508" t="e">
        <f>IF(#REF!&lt;=25, "Young Age", IF(#REF!&lt;=40, "Mid Age", "Old Age"))</f>
        <v>#REF!</v>
      </c>
      <c r="U508" t="str">
        <f t="shared" si="7"/>
        <v>Over Delayed</v>
      </c>
    </row>
    <row r="509" spans="1:21" x14ac:dyDescent="0.35">
      <c r="A509" t="s">
        <v>1174</v>
      </c>
      <c r="B509" s="13" t="s">
        <v>1175</v>
      </c>
      <c r="C509" t="s">
        <v>1176</v>
      </c>
      <c r="D509" t="s">
        <v>3</v>
      </c>
      <c r="E509" t="s">
        <v>61</v>
      </c>
      <c r="F509" t="s">
        <v>62</v>
      </c>
      <c r="G509" t="s">
        <v>105</v>
      </c>
      <c r="H509" t="s">
        <v>438</v>
      </c>
      <c r="I509">
        <v>10</v>
      </c>
      <c r="J509" s="1">
        <v>54102.6</v>
      </c>
      <c r="K509">
        <v>0.36</v>
      </c>
      <c r="L509" s="1">
        <v>523395.38</v>
      </c>
      <c r="M509" s="1">
        <v>62065.82</v>
      </c>
      <c r="N509" s="1">
        <v>73.13</v>
      </c>
      <c r="O509" t="s">
        <v>8</v>
      </c>
      <c r="P509" t="s">
        <v>2149</v>
      </c>
      <c r="Q509" t="b">
        <v>0</v>
      </c>
      <c r="R509" t="s">
        <v>18</v>
      </c>
      <c r="S509">
        <v>7</v>
      </c>
      <c r="T509" t="e">
        <f>IF(#REF!&lt;=25, "Young Age", IF(#REF!&lt;=40, "Mid Age", "Old Age"))</f>
        <v>#REF!</v>
      </c>
      <c r="U509" t="str">
        <f t="shared" si="7"/>
        <v>Delayed</v>
      </c>
    </row>
    <row r="510" spans="1:21" x14ac:dyDescent="0.35">
      <c r="A510" t="s">
        <v>1177</v>
      </c>
      <c r="B510" s="13">
        <v>45612</v>
      </c>
      <c r="C510" t="s">
        <v>1178</v>
      </c>
      <c r="D510" t="s">
        <v>47</v>
      </c>
      <c r="E510" t="s">
        <v>14</v>
      </c>
      <c r="F510" t="s">
        <v>84</v>
      </c>
      <c r="G510" t="s">
        <v>105</v>
      </c>
      <c r="H510" t="s">
        <v>120</v>
      </c>
      <c r="I510">
        <v>3</v>
      </c>
      <c r="J510" s="1">
        <v>36271.47</v>
      </c>
      <c r="K510">
        <v>0.08</v>
      </c>
      <c r="L510" s="1">
        <v>106383.22</v>
      </c>
      <c r="M510" s="1">
        <v>8562.92</v>
      </c>
      <c r="N510" s="1">
        <v>64.31</v>
      </c>
      <c r="O510" t="s">
        <v>49</v>
      </c>
      <c r="P510">
        <v>2</v>
      </c>
      <c r="Q510" t="b">
        <v>1</v>
      </c>
      <c r="R510" t="s">
        <v>9</v>
      </c>
      <c r="S510">
        <v>10</v>
      </c>
      <c r="T510" t="e">
        <f>IF(#REF!&lt;=25, "Young Age", IF(#REF!&lt;=40, "Mid Age", "Old Age"))</f>
        <v>#REF!</v>
      </c>
      <c r="U510" t="str">
        <f t="shared" si="7"/>
        <v>Over Delayed</v>
      </c>
    </row>
    <row r="511" spans="1:21" x14ac:dyDescent="0.35">
      <c r="A511" t="s">
        <v>1179</v>
      </c>
      <c r="B511" s="13">
        <v>45464</v>
      </c>
      <c r="C511" t="s">
        <v>1180</v>
      </c>
      <c r="D511" t="s">
        <v>13</v>
      </c>
      <c r="E511" t="s">
        <v>53</v>
      </c>
      <c r="F511" t="s">
        <v>79</v>
      </c>
      <c r="G511" t="s">
        <v>41</v>
      </c>
      <c r="H511" t="s">
        <v>244</v>
      </c>
      <c r="I511">
        <v>6</v>
      </c>
      <c r="J511" s="1">
        <v>587.29999999999995</v>
      </c>
      <c r="K511">
        <v>0.23</v>
      </c>
      <c r="L511" s="1">
        <v>4643.97</v>
      </c>
      <c r="M511" s="1">
        <v>1923.83</v>
      </c>
      <c r="N511" s="1">
        <v>52.24</v>
      </c>
      <c r="O511" t="s">
        <v>36</v>
      </c>
      <c r="P511">
        <v>5</v>
      </c>
      <c r="Q511" t="b">
        <v>0</v>
      </c>
      <c r="R511" t="s">
        <v>18</v>
      </c>
      <c r="S511">
        <v>5</v>
      </c>
      <c r="T511" t="e">
        <f>IF(#REF!&lt;=25, "Young Age", IF(#REF!&lt;=40, "Mid Age", "Old Age"))</f>
        <v>#REF!</v>
      </c>
      <c r="U511" t="str">
        <f t="shared" si="7"/>
        <v>Delayed</v>
      </c>
    </row>
    <row r="512" spans="1:21" x14ac:dyDescent="0.35">
      <c r="A512" t="s">
        <v>1181</v>
      </c>
      <c r="B512" s="13">
        <v>44523</v>
      </c>
      <c r="C512" t="s">
        <v>1182</v>
      </c>
      <c r="D512" t="s">
        <v>13</v>
      </c>
      <c r="E512" t="s">
        <v>89</v>
      </c>
      <c r="F512" t="s">
        <v>119</v>
      </c>
      <c r="G512" t="s">
        <v>23</v>
      </c>
      <c r="H512" t="s">
        <v>29</v>
      </c>
      <c r="I512">
        <v>7</v>
      </c>
      <c r="J512" s="1">
        <v>32709.32</v>
      </c>
      <c r="K512">
        <v>0.15</v>
      </c>
      <c r="L512" s="1">
        <v>154037.82999999999</v>
      </c>
      <c r="M512" s="1">
        <v>40170.160000000003</v>
      </c>
      <c r="N512" s="1">
        <v>86.06</v>
      </c>
      <c r="O512" t="s">
        <v>43</v>
      </c>
      <c r="P512">
        <v>2</v>
      </c>
      <c r="Q512" t="b">
        <v>0</v>
      </c>
      <c r="R512" t="s">
        <v>18</v>
      </c>
      <c r="S512">
        <v>1</v>
      </c>
      <c r="T512" t="e">
        <f>IF(#REF!&lt;=25, "Young Age", IF(#REF!&lt;=40, "Mid Age", "Old Age"))</f>
        <v>#REF!</v>
      </c>
      <c r="U512" t="str">
        <f t="shared" si="7"/>
        <v>Okay</v>
      </c>
    </row>
    <row r="513" spans="1:21" x14ac:dyDescent="0.35">
      <c r="A513" t="s">
        <v>1183</v>
      </c>
      <c r="B513" s="13">
        <v>44303</v>
      </c>
      <c r="C513" t="s">
        <v>1184</v>
      </c>
      <c r="D513" t="s">
        <v>3</v>
      </c>
      <c r="E513" t="s">
        <v>4</v>
      </c>
      <c r="F513" t="s">
        <v>148</v>
      </c>
      <c r="G513" t="s">
        <v>6</v>
      </c>
      <c r="H513" t="s">
        <v>75</v>
      </c>
      <c r="I513">
        <v>7</v>
      </c>
      <c r="J513" s="1">
        <v>228.64</v>
      </c>
      <c r="K513">
        <v>0.17</v>
      </c>
      <c r="L513" s="1">
        <v>1426.02</v>
      </c>
      <c r="M513" s="1">
        <v>99.2</v>
      </c>
      <c r="N513" s="1">
        <v>68.16</v>
      </c>
      <c r="O513" t="s">
        <v>36</v>
      </c>
      <c r="P513">
        <v>1</v>
      </c>
      <c r="Q513" t="b">
        <v>0</v>
      </c>
      <c r="R513" t="s">
        <v>18</v>
      </c>
      <c r="S513">
        <v>8</v>
      </c>
      <c r="T513" t="e">
        <f>IF(#REF!&lt;=25, "Young Age", IF(#REF!&lt;=40, "Mid Age", "Old Age"))</f>
        <v>#REF!</v>
      </c>
      <c r="U513" t="str">
        <f t="shared" si="7"/>
        <v>Over Delayed</v>
      </c>
    </row>
    <row r="514" spans="1:21" x14ac:dyDescent="0.35">
      <c r="A514" t="s">
        <v>1185</v>
      </c>
      <c r="B514" s="13">
        <v>44517</v>
      </c>
      <c r="C514" t="s">
        <v>1186</v>
      </c>
      <c r="D514" t="s">
        <v>3</v>
      </c>
      <c r="E514" t="s">
        <v>53</v>
      </c>
      <c r="F514" t="s">
        <v>79</v>
      </c>
      <c r="G514" t="s">
        <v>6</v>
      </c>
      <c r="H514" t="s">
        <v>374</v>
      </c>
      <c r="I514">
        <v>3</v>
      </c>
      <c r="J514" s="1">
        <v>308.05</v>
      </c>
      <c r="K514">
        <v>0.19</v>
      </c>
      <c r="L514" s="1">
        <v>531.13</v>
      </c>
      <c r="M514" s="1">
        <v>41.25</v>
      </c>
      <c r="N514" s="1">
        <v>45.78</v>
      </c>
      <c r="O514" t="s">
        <v>43</v>
      </c>
      <c r="P514">
        <v>3</v>
      </c>
      <c r="Q514" t="b">
        <v>0</v>
      </c>
      <c r="R514" t="s">
        <v>18</v>
      </c>
      <c r="S514">
        <v>2</v>
      </c>
      <c r="T514" t="e">
        <f>IF(#REF!&lt;=25, "Young Age", IF(#REF!&lt;=40, "Mid Age", "Old Age"))</f>
        <v>#REF!</v>
      </c>
      <c r="U514" t="str">
        <f t="shared" ref="U514:U577" si="8">IF(S514 &lt;=4, "Okay", IF(S514 &lt;=7, "Delayed", "Over Delayed"))</f>
        <v>Okay</v>
      </c>
    </row>
    <row r="515" spans="1:21" x14ac:dyDescent="0.35">
      <c r="A515" t="s">
        <v>1187</v>
      </c>
      <c r="B515" s="13">
        <v>43902</v>
      </c>
      <c r="C515" t="s">
        <v>1188</v>
      </c>
      <c r="D515" t="s">
        <v>13</v>
      </c>
      <c r="E515" t="s">
        <v>53</v>
      </c>
      <c r="F515" t="s">
        <v>79</v>
      </c>
      <c r="G515" t="s">
        <v>55</v>
      </c>
      <c r="H515" t="s">
        <v>67</v>
      </c>
      <c r="I515">
        <v>9</v>
      </c>
      <c r="J515" s="1">
        <v>3971.91</v>
      </c>
      <c r="K515">
        <v>0.18</v>
      </c>
      <c r="L515" s="1">
        <v>32366.71</v>
      </c>
      <c r="M515" s="1">
        <v>14702.14</v>
      </c>
      <c r="N515" s="1">
        <v>47.38</v>
      </c>
      <c r="O515" t="s">
        <v>43</v>
      </c>
      <c r="P515">
        <v>3</v>
      </c>
      <c r="Q515" t="b">
        <v>0</v>
      </c>
      <c r="R515" t="s">
        <v>37</v>
      </c>
      <c r="S515">
        <v>4</v>
      </c>
      <c r="T515" t="e">
        <f>IF(#REF!&lt;=25, "Young Age", IF(#REF!&lt;=40, "Mid Age", "Old Age"))</f>
        <v>#REF!</v>
      </c>
      <c r="U515" t="str">
        <f t="shared" si="8"/>
        <v>Okay</v>
      </c>
    </row>
    <row r="516" spans="1:21" x14ac:dyDescent="0.35">
      <c r="A516" t="s">
        <v>1189</v>
      </c>
      <c r="B516" s="13">
        <v>44823</v>
      </c>
      <c r="C516" t="s">
        <v>1190</v>
      </c>
      <c r="D516" t="s">
        <v>3</v>
      </c>
      <c r="E516" t="s">
        <v>89</v>
      </c>
      <c r="F516" t="s">
        <v>119</v>
      </c>
      <c r="G516" t="s">
        <v>105</v>
      </c>
      <c r="H516" t="s">
        <v>120</v>
      </c>
      <c r="I516">
        <v>7</v>
      </c>
      <c r="J516" s="1">
        <v>10316.01</v>
      </c>
      <c r="K516">
        <v>0.33</v>
      </c>
      <c r="L516" s="1">
        <v>50301.08</v>
      </c>
      <c r="M516" s="1">
        <v>6888.17</v>
      </c>
      <c r="N516" s="1">
        <v>90.01</v>
      </c>
      <c r="O516" t="s">
        <v>36</v>
      </c>
      <c r="P516" t="s">
        <v>2149</v>
      </c>
      <c r="Q516" t="b">
        <v>0</v>
      </c>
      <c r="R516" t="s">
        <v>18</v>
      </c>
      <c r="S516">
        <v>4</v>
      </c>
      <c r="T516" t="e">
        <f>IF(#REF!&lt;=25, "Young Age", IF(#REF!&lt;=40, "Mid Age", "Old Age"))</f>
        <v>#REF!</v>
      </c>
      <c r="U516" t="str">
        <f t="shared" si="8"/>
        <v>Okay</v>
      </c>
    </row>
    <row r="517" spans="1:21" x14ac:dyDescent="0.35">
      <c r="A517" t="s">
        <v>1191</v>
      </c>
      <c r="B517" s="13">
        <v>45255</v>
      </c>
      <c r="C517" t="s">
        <v>1192</v>
      </c>
      <c r="D517" t="s">
        <v>3</v>
      </c>
      <c r="E517" t="s">
        <v>4</v>
      </c>
      <c r="F517" t="s">
        <v>5</v>
      </c>
      <c r="G517" t="s">
        <v>55</v>
      </c>
      <c r="H517" t="s">
        <v>56</v>
      </c>
      <c r="I517">
        <v>4</v>
      </c>
      <c r="J517" s="1">
        <v>2037.61</v>
      </c>
      <c r="K517">
        <v>0.09</v>
      </c>
      <c r="L517" s="1">
        <v>7459.65</v>
      </c>
      <c r="M517" s="1">
        <v>2991.98</v>
      </c>
      <c r="N517" s="1">
        <v>28.18</v>
      </c>
      <c r="O517" t="s">
        <v>43</v>
      </c>
      <c r="P517">
        <v>1</v>
      </c>
      <c r="Q517" t="b">
        <v>1</v>
      </c>
      <c r="R517" t="s">
        <v>9</v>
      </c>
      <c r="S517">
        <v>7</v>
      </c>
      <c r="T517" t="e">
        <f>IF(#REF!&lt;=25, "Young Age", IF(#REF!&lt;=40, "Mid Age", "Old Age"))</f>
        <v>#REF!</v>
      </c>
      <c r="U517" t="str">
        <f t="shared" si="8"/>
        <v>Delayed</v>
      </c>
    </row>
    <row r="518" spans="1:21" x14ac:dyDescent="0.35">
      <c r="A518" t="s">
        <v>1193</v>
      </c>
      <c r="B518" s="13">
        <v>44935</v>
      </c>
      <c r="C518" t="s">
        <v>1194</v>
      </c>
      <c r="D518" t="s">
        <v>3</v>
      </c>
      <c r="E518" t="s">
        <v>53</v>
      </c>
      <c r="F518" t="s">
        <v>114</v>
      </c>
      <c r="G518" t="s">
        <v>23</v>
      </c>
      <c r="H518" t="s">
        <v>199</v>
      </c>
      <c r="I518">
        <v>4</v>
      </c>
      <c r="J518" s="1">
        <v>16407.34</v>
      </c>
      <c r="K518">
        <v>0.13</v>
      </c>
      <c r="L518" s="1">
        <v>51661.63</v>
      </c>
      <c r="M518" s="1">
        <v>18819.990000000002</v>
      </c>
      <c r="N518" s="1">
        <v>55.63</v>
      </c>
      <c r="O518" t="s">
        <v>43</v>
      </c>
      <c r="P518">
        <v>3</v>
      </c>
      <c r="Q518" t="b">
        <v>0</v>
      </c>
      <c r="R518" t="s">
        <v>18</v>
      </c>
      <c r="S518">
        <v>7</v>
      </c>
      <c r="T518" t="e">
        <f>IF(#REF!&lt;=25, "Young Age", IF(#REF!&lt;=40, "Mid Age", "Old Age"))</f>
        <v>#REF!</v>
      </c>
      <c r="U518" t="str">
        <f t="shared" si="8"/>
        <v>Delayed</v>
      </c>
    </row>
    <row r="519" spans="1:21" x14ac:dyDescent="0.35">
      <c r="A519" t="s">
        <v>1195</v>
      </c>
      <c r="B519" s="13">
        <v>44301</v>
      </c>
      <c r="C519" t="s">
        <v>1196</v>
      </c>
      <c r="D519" t="s">
        <v>3</v>
      </c>
      <c r="E519" t="s">
        <v>61</v>
      </c>
      <c r="F519" t="s">
        <v>62</v>
      </c>
      <c r="G519" t="s">
        <v>23</v>
      </c>
      <c r="H519" t="s">
        <v>95</v>
      </c>
      <c r="I519">
        <v>9</v>
      </c>
      <c r="J519" s="1">
        <v>19514.509999999998</v>
      </c>
      <c r="K519">
        <v>0</v>
      </c>
      <c r="L519" s="1">
        <v>215673.94</v>
      </c>
      <c r="M519" s="1">
        <v>71953.350000000006</v>
      </c>
      <c r="N519" s="1">
        <v>87.81</v>
      </c>
      <c r="O519" t="s">
        <v>8</v>
      </c>
      <c r="P519">
        <v>1</v>
      </c>
      <c r="Q519" t="b">
        <v>1</v>
      </c>
      <c r="R519" t="s">
        <v>9</v>
      </c>
      <c r="S519">
        <v>9</v>
      </c>
      <c r="T519" t="e">
        <f>IF(#REF!&lt;=25, "Young Age", IF(#REF!&lt;=40, "Mid Age", "Old Age"))</f>
        <v>#REF!</v>
      </c>
      <c r="U519" t="str">
        <f t="shared" si="8"/>
        <v>Over Delayed</v>
      </c>
    </row>
    <row r="520" spans="1:21" x14ac:dyDescent="0.35">
      <c r="A520" t="s">
        <v>1197</v>
      </c>
      <c r="B520" s="13">
        <v>44231</v>
      </c>
      <c r="C520" t="s">
        <v>1198</v>
      </c>
      <c r="D520" t="s">
        <v>3</v>
      </c>
      <c r="E520" t="s">
        <v>14</v>
      </c>
      <c r="F520" t="s">
        <v>15</v>
      </c>
      <c r="G520" t="s">
        <v>55</v>
      </c>
      <c r="H520" t="s">
        <v>91</v>
      </c>
      <c r="I520">
        <v>10</v>
      </c>
      <c r="J520" s="1">
        <v>1064.5</v>
      </c>
      <c r="K520">
        <v>0.2</v>
      </c>
      <c r="L520" s="1">
        <v>8259.5300000000007</v>
      </c>
      <c r="M520" s="1">
        <v>3321.3</v>
      </c>
      <c r="N520" s="1">
        <v>64.42</v>
      </c>
      <c r="O520" t="s">
        <v>43</v>
      </c>
      <c r="P520">
        <v>4</v>
      </c>
      <c r="Q520" t="b">
        <v>0</v>
      </c>
      <c r="R520" t="s">
        <v>18</v>
      </c>
      <c r="S520">
        <v>9</v>
      </c>
      <c r="T520" t="e">
        <f>IF(#REF!&lt;=25, "Young Age", IF(#REF!&lt;=40, "Mid Age", "Old Age"))</f>
        <v>#REF!</v>
      </c>
      <c r="U520" t="str">
        <f t="shared" si="8"/>
        <v>Over Delayed</v>
      </c>
    </row>
    <row r="521" spans="1:21" x14ac:dyDescent="0.35">
      <c r="A521" t="s">
        <v>1199</v>
      </c>
      <c r="B521" s="13">
        <v>44920</v>
      </c>
      <c r="C521" t="s">
        <v>1200</v>
      </c>
      <c r="D521" t="s">
        <v>3</v>
      </c>
      <c r="E521" t="s">
        <v>89</v>
      </c>
      <c r="F521" t="s">
        <v>299</v>
      </c>
      <c r="G521" t="s">
        <v>16</v>
      </c>
      <c r="H521" t="s">
        <v>557</v>
      </c>
      <c r="I521">
        <v>4</v>
      </c>
      <c r="J521" s="1">
        <v>1024.2</v>
      </c>
      <c r="K521">
        <v>0.28000000000000003</v>
      </c>
      <c r="L521" s="1">
        <v>2046.31</v>
      </c>
      <c r="M521" s="1">
        <v>485.53</v>
      </c>
      <c r="N521" s="1">
        <v>57.96</v>
      </c>
      <c r="O521" t="s">
        <v>36</v>
      </c>
      <c r="P521">
        <v>2</v>
      </c>
      <c r="Q521" t="b">
        <v>0</v>
      </c>
      <c r="R521" t="s">
        <v>18</v>
      </c>
      <c r="S521">
        <v>9</v>
      </c>
      <c r="T521" t="e">
        <f>IF(#REF!&lt;=25, "Young Age", IF(#REF!&lt;=40, "Mid Age", "Old Age"))</f>
        <v>#REF!</v>
      </c>
      <c r="U521" t="str">
        <f t="shared" si="8"/>
        <v>Over Delayed</v>
      </c>
    </row>
    <row r="522" spans="1:21" x14ac:dyDescent="0.35">
      <c r="A522" t="s">
        <v>1201</v>
      </c>
      <c r="B522" s="13">
        <v>45280</v>
      </c>
      <c r="C522" t="s">
        <v>1202</v>
      </c>
      <c r="D522" t="s">
        <v>47</v>
      </c>
      <c r="E522" t="s">
        <v>89</v>
      </c>
      <c r="F522" t="s">
        <v>99</v>
      </c>
      <c r="G522" t="s">
        <v>124</v>
      </c>
      <c r="H522" t="s">
        <v>156</v>
      </c>
      <c r="I522">
        <v>5</v>
      </c>
      <c r="J522" s="1">
        <v>11277.04</v>
      </c>
      <c r="K522">
        <v>0.03</v>
      </c>
      <c r="L522" s="1">
        <v>47607.55</v>
      </c>
      <c r="M522" s="1">
        <v>14946.09</v>
      </c>
      <c r="N522" s="1">
        <v>96.43</v>
      </c>
      <c r="O522" t="s">
        <v>30</v>
      </c>
      <c r="P522">
        <v>2</v>
      </c>
      <c r="Q522" t="b">
        <v>0</v>
      </c>
      <c r="R522" t="s">
        <v>115</v>
      </c>
      <c r="S522">
        <v>8</v>
      </c>
      <c r="T522" t="e">
        <f>IF(#REF!&lt;=25, "Young Age", IF(#REF!&lt;=40, "Mid Age", "Old Age"))</f>
        <v>#REF!</v>
      </c>
      <c r="U522" t="str">
        <f t="shared" si="8"/>
        <v>Over Delayed</v>
      </c>
    </row>
    <row r="523" spans="1:21" x14ac:dyDescent="0.35">
      <c r="A523" t="s">
        <v>1203</v>
      </c>
      <c r="B523" s="13">
        <v>45450</v>
      </c>
      <c r="C523" t="s">
        <v>1204</v>
      </c>
      <c r="D523" t="s">
        <v>47</v>
      </c>
      <c r="E523" t="s">
        <v>61</v>
      </c>
      <c r="F523" t="s">
        <v>271</v>
      </c>
      <c r="G523" t="s">
        <v>55</v>
      </c>
      <c r="H523" t="s">
        <v>56</v>
      </c>
      <c r="I523">
        <v>6</v>
      </c>
      <c r="J523" s="1">
        <v>3566.25</v>
      </c>
      <c r="K523">
        <v>0.19</v>
      </c>
      <c r="L523" s="1">
        <v>31426.55</v>
      </c>
      <c r="M523" s="1">
        <v>12874.37</v>
      </c>
      <c r="N523" s="1">
        <v>94.51</v>
      </c>
      <c r="O523" t="s">
        <v>30</v>
      </c>
      <c r="P523">
        <v>5</v>
      </c>
      <c r="Q523" t="b">
        <v>0</v>
      </c>
      <c r="R523" t="s">
        <v>18</v>
      </c>
      <c r="S523">
        <v>2</v>
      </c>
      <c r="T523" t="e">
        <f>IF(#REF!&lt;=25, "Young Age", IF(#REF!&lt;=40, "Mid Age", "Old Age"))</f>
        <v>#REF!</v>
      </c>
      <c r="U523" t="str">
        <f t="shared" si="8"/>
        <v>Okay</v>
      </c>
    </row>
    <row r="524" spans="1:21" x14ac:dyDescent="0.35">
      <c r="A524" t="s">
        <v>1205</v>
      </c>
      <c r="B524" s="13">
        <v>44256</v>
      </c>
      <c r="C524" t="s">
        <v>1206</v>
      </c>
      <c r="D524" t="s">
        <v>3</v>
      </c>
      <c r="E524" t="s">
        <v>89</v>
      </c>
      <c r="F524" t="s">
        <v>299</v>
      </c>
      <c r="G524" t="s">
        <v>124</v>
      </c>
      <c r="H524" t="s">
        <v>195</v>
      </c>
      <c r="I524">
        <v>1</v>
      </c>
      <c r="J524" s="1">
        <v>10397.719999999999</v>
      </c>
      <c r="K524">
        <v>0</v>
      </c>
      <c r="L524" s="1">
        <v>10108.14</v>
      </c>
      <c r="M524" s="1">
        <v>2948.56</v>
      </c>
      <c r="N524" s="1">
        <v>88.19</v>
      </c>
      <c r="O524" t="s">
        <v>36</v>
      </c>
      <c r="P524">
        <v>1</v>
      </c>
      <c r="Q524" t="b">
        <v>0</v>
      </c>
      <c r="R524" t="s">
        <v>115</v>
      </c>
      <c r="S524">
        <v>2</v>
      </c>
      <c r="T524" t="e">
        <f>IF(#REF!&lt;=25, "Young Age", IF(#REF!&lt;=40, "Mid Age", "Old Age"))</f>
        <v>#REF!</v>
      </c>
      <c r="U524" t="str">
        <f t="shared" si="8"/>
        <v>Okay</v>
      </c>
    </row>
    <row r="525" spans="1:21" x14ac:dyDescent="0.35">
      <c r="A525" t="s">
        <v>1207</v>
      </c>
      <c r="B525" s="13">
        <v>44133</v>
      </c>
      <c r="C525" t="s">
        <v>1208</v>
      </c>
      <c r="D525" t="s">
        <v>3</v>
      </c>
      <c r="E525" t="s">
        <v>61</v>
      </c>
      <c r="F525" t="s">
        <v>104</v>
      </c>
      <c r="G525" t="s">
        <v>55</v>
      </c>
      <c r="H525" t="s">
        <v>67</v>
      </c>
      <c r="I525">
        <v>3</v>
      </c>
      <c r="J525" s="1">
        <v>562.94000000000005</v>
      </c>
      <c r="K525">
        <v>0.27</v>
      </c>
      <c r="L525" s="1">
        <v>1022.04</v>
      </c>
      <c r="M525" s="1">
        <v>309.8</v>
      </c>
      <c r="N525" s="1">
        <v>88.97</v>
      </c>
      <c r="O525" t="s">
        <v>57</v>
      </c>
      <c r="P525">
        <v>2</v>
      </c>
      <c r="Q525" t="b">
        <v>1</v>
      </c>
      <c r="R525" t="s">
        <v>9</v>
      </c>
      <c r="S525">
        <v>1</v>
      </c>
      <c r="T525" t="e">
        <f>IF(#REF!&lt;=25, "Young Age", IF(#REF!&lt;=40, "Mid Age", "Old Age"))</f>
        <v>#REF!</v>
      </c>
      <c r="U525" t="str">
        <f t="shared" si="8"/>
        <v>Okay</v>
      </c>
    </row>
    <row r="526" spans="1:21" x14ac:dyDescent="0.35">
      <c r="A526" t="s">
        <v>1209</v>
      </c>
      <c r="B526" s="13">
        <v>44873</v>
      </c>
      <c r="C526" t="s">
        <v>1210</v>
      </c>
      <c r="D526" t="s">
        <v>3</v>
      </c>
      <c r="E526" t="s">
        <v>53</v>
      </c>
      <c r="F526" t="s">
        <v>54</v>
      </c>
      <c r="G526" t="s">
        <v>105</v>
      </c>
      <c r="H526" t="s">
        <v>174</v>
      </c>
      <c r="I526">
        <v>9</v>
      </c>
      <c r="J526" s="1">
        <v>54464.82</v>
      </c>
      <c r="K526">
        <v>0</v>
      </c>
      <c r="L526" s="1">
        <v>647259.03</v>
      </c>
      <c r="M526" s="1">
        <v>89846.44</v>
      </c>
      <c r="N526" s="1">
        <v>53.63</v>
      </c>
      <c r="O526" t="s">
        <v>49</v>
      </c>
      <c r="P526" t="s">
        <v>2149</v>
      </c>
      <c r="Q526" t="b">
        <v>0</v>
      </c>
      <c r="R526" t="s">
        <v>18</v>
      </c>
      <c r="S526">
        <v>4</v>
      </c>
      <c r="T526" t="e">
        <f>IF(#REF!&lt;=25, "Young Age", IF(#REF!&lt;=40, "Mid Age", "Old Age"))</f>
        <v>#REF!</v>
      </c>
      <c r="U526" t="str">
        <f t="shared" si="8"/>
        <v>Okay</v>
      </c>
    </row>
    <row r="527" spans="1:21" x14ac:dyDescent="0.35">
      <c r="A527" t="s">
        <v>1211</v>
      </c>
      <c r="B527" s="13">
        <v>44167</v>
      </c>
      <c r="C527" t="s">
        <v>1212</v>
      </c>
      <c r="D527" t="s">
        <v>13</v>
      </c>
      <c r="E527" t="s">
        <v>53</v>
      </c>
      <c r="F527" t="s">
        <v>54</v>
      </c>
      <c r="G527" t="s">
        <v>6</v>
      </c>
      <c r="H527" t="s">
        <v>374</v>
      </c>
      <c r="I527">
        <v>9</v>
      </c>
      <c r="J527" s="1">
        <v>335.03</v>
      </c>
      <c r="K527">
        <v>0.34</v>
      </c>
      <c r="L527" s="1">
        <v>1431.69</v>
      </c>
      <c r="M527" s="1">
        <v>93.14</v>
      </c>
      <c r="N527" s="1">
        <v>59.48</v>
      </c>
      <c r="O527" t="s">
        <v>36</v>
      </c>
      <c r="P527">
        <v>4</v>
      </c>
      <c r="Q527" t="b">
        <v>1</v>
      </c>
      <c r="R527" t="s">
        <v>9</v>
      </c>
      <c r="S527">
        <v>1</v>
      </c>
      <c r="T527" t="e">
        <f>IF(#REF!&lt;=25, "Young Age", IF(#REF!&lt;=40, "Mid Age", "Old Age"))</f>
        <v>#REF!</v>
      </c>
      <c r="U527" t="str">
        <f t="shared" si="8"/>
        <v>Okay</v>
      </c>
    </row>
    <row r="528" spans="1:21" x14ac:dyDescent="0.35">
      <c r="A528" t="s">
        <v>1213</v>
      </c>
      <c r="B528" s="13">
        <v>45007</v>
      </c>
      <c r="C528" t="s">
        <v>1214</v>
      </c>
      <c r="D528" t="s">
        <v>3</v>
      </c>
      <c r="E528" t="s">
        <v>53</v>
      </c>
      <c r="F528" t="s">
        <v>170</v>
      </c>
      <c r="G528" t="s">
        <v>6</v>
      </c>
      <c r="H528" t="s">
        <v>7</v>
      </c>
      <c r="I528">
        <v>8</v>
      </c>
      <c r="J528" s="1">
        <v>172.53</v>
      </c>
      <c r="K528">
        <v>0.22</v>
      </c>
      <c r="L528" s="1">
        <v>1491.46</v>
      </c>
      <c r="M528" s="1">
        <v>177.24</v>
      </c>
      <c r="N528" s="1">
        <v>47.93</v>
      </c>
      <c r="O528" t="s">
        <v>49</v>
      </c>
      <c r="P528">
        <v>3</v>
      </c>
      <c r="Q528" t="b">
        <v>0</v>
      </c>
      <c r="R528" t="s">
        <v>175</v>
      </c>
      <c r="S528">
        <v>4</v>
      </c>
      <c r="T528" t="e">
        <f>IF(#REF!&lt;=25, "Young Age", IF(#REF!&lt;=40, "Mid Age", "Old Age"))</f>
        <v>#REF!</v>
      </c>
      <c r="U528" t="str">
        <f t="shared" si="8"/>
        <v>Okay</v>
      </c>
    </row>
    <row r="529" spans="1:21" x14ac:dyDescent="0.35">
      <c r="A529" t="s">
        <v>1215</v>
      </c>
      <c r="B529" s="13">
        <v>45160</v>
      </c>
      <c r="C529" t="s">
        <v>1216</v>
      </c>
      <c r="D529" t="s">
        <v>47</v>
      </c>
      <c r="E529" t="s">
        <v>61</v>
      </c>
      <c r="F529" t="s">
        <v>62</v>
      </c>
      <c r="G529" t="s">
        <v>124</v>
      </c>
      <c r="H529" t="s">
        <v>156</v>
      </c>
      <c r="I529">
        <v>1</v>
      </c>
      <c r="J529" s="1">
        <v>7788.48</v>
      </c>
      <c r="K529">
        <v>0.16</v>
      </c>
      <c r="L529" s="1">
        <v>9678.82</v>
      </c>
      <c r="M529" s="1">
        <v>2560.56</v>
      </c>
      <c r="N529" s="1">
        <v>67.88</v>
      </c>
      <c r="O529" t="s">
        <v>30</v>
      </c>
      <c r="P529">
        <v>4</v>
      </c>
      <c r="Q529" t="b">
        <v>0</v>
      </c>
      <c r="R529" t="s">
        <v>115</v>
      </c>
      <c r="S529">
        <v>3</v>
      </c>
      <c r="T529" t="e">
        <f>IF(#REF!&lt;=25, "Young Age", IF(#REF!&lt;=40, "Mid Age", "Old Age"))</f>
        <v>#REF!</v>
      </c>
      <c r="U529" t="str">
        <f t="shared" si="8"/>
        <v>Okay</v>
      </c>
    </row>
    <row r="530" spans="1:21" x14ac:dyDescent="0.35">
      <c r="A530" t="s">
        <v>1217</v>
      </c>
      <c r="B530" s="13">
        <v>43867</v>
      </c>
      <c r="C530" t="s">
        <v>1218</v>
      </c>
      <c r="D530" t="s">
        <v>47</v>
      </c>
      <c r="E530" t="s">
        <v>61</v>
      </c>
      <c r="F530" t="s">
        <v>271</v>
      </c>
      <c r="G530" t="s">
        <v>16</v>
      </c>
      <c r="H530" t="s">
        <v>160</v>
      </c>
      <c r="I530">
        <v>3</v>
      </c>
      <c r="J530" s="1">
        <v>1535.87</v>
      </c>
      <c r="K530">
        <v>0.04</v>
      </c>
      <c r="L530" s="1">
        <v>3186.03</v>
      </c>
      <c r="M530" s="1">
        <v>1346.8</v>
      </c>
      <c r="N530" s="1">
        <v>86.51</v>
      </c>
      <c r="O530" t="s">
        <v>43</v>
      </c>
      <c r="P530">
        <v>5</v>
      </c>
      <c r="Q530" t="b">
        <v>1</v>
      </c>
      <c r="R530" t="s">
        <v>9</v>
      </c>
      <c r="S530">
        <v>7</v>
      </c>
      <c r="T530" t="e">
        <f>IF(#REF!&lt;=25, "Young Age", IF(#REF!&lt;=40, "Mid Age", "Old Age"))</f>
        <v>#REF!</v>
      </c>
      <c r="U530" t="str">
        <f t="shared" si="8"/>
        <v>Delayed</v>
      </c>
    </row>
    <row r="531" spans="1:21" x14ac:dyDescent="0.35">
      <c r="A531" t="s">
        <v>1219</v>
      </c>
      <c r="B531" s="13">
        <v>45071</v>
      </c>
      <c r="C531" t="s">
        <v>1220</v>
      </c>
      <c r="D531" t="s">
        <v>47</v>
      </c>
      <c r="E531" t="s">
        <v>14</v>
      </c>
      <c r="F531" t="s">
        <v>28</v>
      </c>
      <c r="G531" t="s">
        <v>6</v>
      </c>
      <c r="H531" t="s">
        <v>387</v>
      </c>
      <c r="I531">
        <v>8</v>
      </c>
      <c r="J531" s="1">
        <v>399.28</v>
      </c>
      <c r="K531">
        <v>0.11</v>
      </c>
      <c r="L531" s="1">
        <v>5100.96</v>
      </c>
      <c r="M531" s="1">
        <v>406.96</v>
      </c>
      <c r="N531" s="1">
        <v>62.93</v>
      </c>
      <c r="O531" t="s">
        <v>43</v>
      </c>
      <c r="P531">
        <v>4</v>
      </c>
      <c r="Q531" t="b">
        <v>0</v>
      </c>
      <c r="R531" t="s">
        <v>115</v>
      </c>
      <c r="S531">
        <v>2</v>
      </c>
      <c r="T531" t="e">
        <f>IF(#REF!&lt;=25, "Young Age", IF(#REF!&lt;=40, "Mid Age", "Old Age"))</f>
        <v>#REF!</v>
      </c>
      <c r="U531" t="str">
        <f t="shared" si="8"/>
        <v>Okay</v>
      </c>
    </row>
    <row r="532" spans="1:21" x14ac:dyDescent="0.35">
      <c r="A532" t="s">
        <v>1221</v>
      </c>
      <c r="B532" s="13">
        <v>44920</v>
      </c>
      <c r="C532" t="s">
        <v>1222</v>
      </c>
      <c r="D532" t="s">
        <v>13</v>
      </c>
      <c r="E532" t="s">
        <v>89</v>
      </c>
      <c r="F532" t="s">
        <v>299</v>
      </c>
      <c r="G532" t="s">
        <v>6</v>
      </c>
      <c r="H532" t="s">
        <v>353</v>
      </c>
      <c r="I532">
        <v>7</v>
      </c>
      <c r="J532" s="1">
        <v>89.81</v>
      </c>
      <c r="K532">
        <v>0.34</v>
      </c>
      <c r="L532" s="1">
        <v>325.22000000000003</v>
      </c>
      <c r="M532" s="1">
        <v>31.2</v>
      </c>
      <c r="N532" s="1">
        <v>64.12</v>
      </c>
      <c r="O532" t="s">
        <v>30</v>
      </c>
      <c r="P532">
        <v>3</v>
      </c>
      <c r="Q532" t="b">
        <v>0</v>
      </c>
      <c r="R532" t="s">
        <v>18</v>
      </c>
      <c r="S532">
        <v>5</v>
      </c>
      <c r="T532" t="e">
        <f>IF(#REF!&lt;=25, "Young Age", IF(#REF!&lt;=40, "Mid Age", "Old Age"))</f>
        <v>#REF!</v>
      </c>
      <c r="U532" t="str">
        <f t="shared" si="8"/>
        <v>Delayed</v>
      </c>
    </row>
    <row r="533" spans="1:21" x14ac:dyDescent="0.35">
      <c r="A533" t="s">
        <v>1223</v>
      </c>
      <c r="B533" s="13">
        <v>44313</v>
      </c>
      <c r="C533" t="s">
        <v>1224</v>
      </c>
      <c r="D533" t="s">
        <v>13</v>
      </c>
      <c r="E533" t="s">
        <v>53</v>
      </c>
      <c r="F533" t="s">
        <v>114</v>
      </c>
      <c r="G533" t="s">
        <v>124</v>
      </c>
      <c r="H533" t="s">
        <v>195</v>
      </c>
      <c r="I533">
        <v>6</v>
      </c>
      <c r="J533" s="1">
        <v>7246.81</v>
      </c>
      <c r="K533">
        <v>0</v>
      </c>
      <c r="L533" s="1">
        <v>51448.04</v>
      </c>
      <c r="M533" s="1">
        <v>9498.99</v>
      </c>
      <c r="N533" s="1">
        <v>40.22</v>
      </c>
      <c r="O533" t="s">
        <v>43</v>
      </c>
      <c r="P533">
        <v>4</v>
      </c>
      <c r="Q533" t="b">
        <v>0</v>
      </c>
      <c r="R533" t="s">
        <v>18</v>
      </c>
      <c r="S533">
        <v>10</v>
      </c>
      <c r="T533" t="e">
        <f>IF(#REF!&lt;=25, "Young Age", IF(#REF!&lt;=40, "Mid Age", "Old Age"))</f>
        <v>#REF!</v>
      </c>
      <c r="U533" t="str">
        <f t="shared" si="8"/>
        <v>Over Delayed</v>
      </c>
    </row>
    <row r="534" spans="1:21" x14ac:dyDescent="0.35">
      <c r="A534" t="s">
        <v>1225</v>
      </c>
      <c r="B534" s="13" t="s">
        <v>1226</v>
      </c>
      <c r="C534" t="s">
        <v>1227</v>
      </c>
      <c r="D534" t="s">
        <v>3</v>
      </c>
      <c r="E534" t="s">
        <v>4</v>
      </c>
      <c r="F534" t="s">
        <v>48</v>
      </c>
      <c r="G534" t="s">
        <v>6</v>
      </c>
      <c r="H534" t="s">
        <v>35</v>
      </c>
      <c r="J534" s="1">
        <v>167.05</v>
      </c>
      <c r="K534">
        <v>0.13</v>
      </c>
      <c r="L534" s="1">
        <v>268.86</v>
      </c>
      <c r="M534" s="1">
        <v>21.3</v>
      </c>
      <c r="N534" s="1">
        <v>51.15</v>
      </c>
      <c r="O534" t="s">
        <v>36</v>
      </c>
      <c r="P534">
        <v>5</v>
      </c>
      <c r="Q534" t="b">
        <v>0</v>
      </c>
      <c r="R534" t="s">
        <v>18</v>
      </c>
      <c r="S534">
        <v>10</v>
      </c>
      <c r="T534" t="e">
        <f>IF(#REF!&lt;=25, "Young Age", IF(#REF!&lt;=40, "Mid Age", "Old Age"))</f>
        <v>#REF!</v>
      </c>
      <c r="U534" t="str">
        <f t="shared" si="8"/>
        <v>Over Delayed</v>
      </c>
    </row>
    <row r="535" spans="1:21" x14ac:dyDescent="0.35">
      <c r="A535" t="s">
        <v>1228</v>
      </c>
      <c r="B535" s="13">
        <v>45151</v>
      </c>
      <c r="C535" t="s">
        <v>1229</v>
      </c>
      <c r="D535" t="s">
        <v>47</v>
      </c>
      <c r="E535" t="s">
        <v>4</v>
      </c>
      <c r="F535" t="s">
        <v>34</v>
      </c>
      <c r="G535" t="s">
        <v>23</v>
      </c>
      <c r="H535" t="s">
        <v>199</v>
      </c>
      <c r="I535">
        <v>10</v>
      </c>
      <c r="J535" s="1">
        <v>5902.83</v>
      </c>
      <c r="K535">
        <v>0.26</v>
      </c>
      <c r="L535" s="1">
        <v>61642.35</v>
      </c>
      <c r="M535" s="1">
        <v>21436.01</v>
      </c>
      <c r="N535" s="1">
        <v>63.39</v>
      </c>
      <c r="O535" t="s">
        <v>49</v>
      </c>
      <c r="P535">
        <v>3</v>
      </c>
      <c r="Q535" t="b">
        <v>0</v>
      </c>
      <c r="R535" t="s">
        <v>18</v>
      </c>
      <c r="S535">
        <v>7</v>
      </c>
      <c r="T535" t="e">
        <f>IF(#REF!&lt;=25, "Young Age", IF(#REF!&lt;=40, "Mid Age", "Old Age"))</f>
        <v>#REF!</v>
      </c>
      <c r="U535" t="str">
        <f t="shared" si="8"/>
        <v>Delayed</v>
      </c>
    </row>
    <row r="536" spans="1:21" x14ac:dyDescent="0.35">
      <c r="A536" t="s">
        <v>1230</v>
      </c>
      <c r="B536" s="13">
        <v>45203</v>
      </c>
      <c r="C536" t="s">
        <v>1231</v>
      </c>
      <c r="D536" t="s">
        <v>47</v>
      </c>
      <c r="E536" t="s">
        <v>4</v>
      </c>
      <c r="F536" t="s">
        <v>148</v>
      </c>
      <c r="G536" t="s">
        <v>41</v>
      </c>
      <c r="H536" t="s">
        <v>85</v>
      </c>
      <c r="I536">
        <v>9</v>
      </c>
      <c r="J536" s="1">
        <v>641.84</v>
      </c>
      <c r="K536">
        <v>0</v>
      </c>
      <c r="L536" s="1">
        <v>5619.07</v>
      </c>
      <c r="M536" s="1">
        <v>2471.08</v>
      </c>
      <c r="N536" s="1">
        <v>20.79</v>
      </c>
      <c r="O536" t="s">
        <v>43</v>
      </c>
      <c r="P536">
        <v>1</v>
      </c>
      <c r="Q536" t="b">
        <v>0</v>
      </c>
      <c r="R536" t="s">
        <v>18</v>
      </c>
      <c r="S536">
        <v>5</v>
      </c>
      <c r="T536" t="e">
        <f>IF(#REF!&lt;=25, "Young Age", IF(#REF!&lt;=40, "Mid Age", "Old Age"))</f>
        <v>#REF!</v>
      </c>
      <c r="U536" t="str">
        <f t="shared" si="8"/>
        <v>Delayed</v>
      </c>
    </row>
    <row r="537" spans="1:21" x14ac:dyDescent="0.35">
      <c r="A537" t="s">
        <v>1232</v>
      </c>
      <c r="B537" s="13">
        <v>45531</v>
      </c>
      <c r="C537" t="s">
        <v>1233</v>
      </c>
      <c r="D537" t="s">
        <v>13</v>
      </c>
      <c r="E537" t="s">
        <v>89</v>
      </c>
      <c r="F537" t="s">
        <v>299</v>
      </c>
      <c r="G537" t="s">
        <v>124</v>
      </c>
      <c r="H537" t="s">
        <v>413</v>
      </c>
      <c r="I537">
        <v>9</v>
      </c>
      <c r="J537" s="1">
        <v>4499.21</v>
      </c>
      <c r="K537">
        <v>0.06</v>
      </c>
      <c r="L537" s="1">
        <v>57299.76</v>
      </c>
      <c r="M537" s="1">
        <v>12249.26</v>
      </c>
      <c r="N537" s="1">
        <v>66.59</v>
      </c>
      <c r="O537" t="s">
        <v>36</v>
      </c>
      <c r="P537">
        <v>2</v>
      </c>
      <c r="Q537" t="b">
        <v>0</v>
      </c>
      <c r="R537" t="s">
        <v>18</v>
      </c>
      <c r="S537">
        <v>4</v>
      </c>
      <c r="T537" t="e">
        <f>IF(#REF!&lt;=25, "Young Age", IF(#REF!&lt;=40, "Mid Age", "Old Age"))</f>
        <v>#REF!</v>
      </c>
      <c r="U537" t="str">
        <f t="shared" si="8"/>
        <v>Okay</v>
      </c>
    </row>
    <row r="538" spans="1:21" x14ac:dyDescent="0.35">
      <c r="A538" t="s">
        <v>631</v>
      </c>
      <c r="B538" s="13">
        <v>44229</v>
      </c>
      <c r="C538" t="s">
        <v>632</v>
      </c>
      <c r="D538" t="s">
        <v>13</v>
      </c>
      <c r="E538" t="s">
        <v>61</v>
      </c>
      <c r="F538" t="s">
        <v>222</v>
      </c>
      <c r="G538" t="s">
        <v>6</v>
      </c>
      <c r="H538" t="s">
        <v>387</v>
      </c>
      <c r="I538">
        <v>7</v>
      </c>
      <c r="J538" s="1">
        <v>474.48</v>
      </c>
      <c r="K538">
        <v>0.26</v>
      </c>
      <c r="L538" s="1">
        <v>2258.19</v>
      </c>
      <c r="M538" s="1">
        <v>189.8</v>
      </c>
      <c r="N538" s="1">
        <v>40.18</v>
      </c>
      <c r="O538" t="s">
        <v>8</v>
      </c>
      <c r="P538">
        <v>1</v>
      </c>
      <c r="Q538" t="b">
        <v>1</v>
      </c>
      <c r="R538" t="s">
        <v>9</v>
      </c>
      <c r="S538">
        <v>2</v>
      </c>
      <c r="T538" t="e">
        <f>IF(#REF!&lt;=25, "Young Age", IF(#REF!&lt;=40, "Mid Age", "Old Age"))</f>
        <v>#REF!</v>
      </c>
      <c r="U538" t="str">
        <f t="shared" si="8"/>
        <v>Okay</v>
      </c>
    </row>
    <row r="539" spans="1:21" x14ac:dyDescent="0.35">
      <c r="A539" t="s">
        <v>1234</v>
      </c>
      <c r="B539" s="13">
        <v>43920</v>
      </c>
      <c r="C539" t="s">
        <v>1235</v>
      </c>
      <c r="D539" t="s">
        <v>3</v>
      </c>
      <c r="E539" t="s">
        <v>14</v>
      </c>
      <c r="F539" t="s">
        <v>15</v>
      </c>
      <c r="G539" t="s">
        <v>16</v>
      </c>
      <c r="H539" t="s">
        <v>209</v>
      </c>
      <c r="I539">
        <v>4</v>
      </c>
      <c r="J539" s="1">
        <v>2430.1</v>
      </c>
      <c r="K539">
        <v>0.03</v>
      </c>
      <c r="L539" s="1">
        <v>8709.27</v>
      </c>
      <c r="M539" s="1">
        <v>5472.38</v>
      </c>
      <c r="N539" s="1">
        <v>60.42</v>
      </c>
      <c r="O539" t="s">
        <v>8</v>
      </c>
      <c r="P539">
        <v>5</v>
      </c>
      <c r="Q539" t="b">
        <v>0</v>
      </c>
      <c r="R539" t="s">
        <v>18</v>
      </c>
      <c r="S539">
        <v>1</v>
      </c>
      <c r="T539" t="e">
        <f>IF(#REF!&lt;=25, "Young Age", IF(#REF!&lt;=40, "Mid Age", "Old Age"))</f>
        <v>#REF!</v>
      </c>
      <c r="U539" t="str">
        <f t="shared" si="8"/>
        <v>Okay</v>
      </c>
    </row>
    <row r="540" spans="1:21" x14ac:dyDescent="0.35">
      <c r="A540" t="s">
        <v>1236</v>
      </c>
      <c r="B540" s="13">
        <v>44091</v>
      </c>
      <c r="C540" t="s">
        <v>1237</v>
      </c>
      <c r="D540" t="s">
        <v>3</v>
      </c>
      <c r="E540" t="s">
        <v>89</v>
      </c>
      <c r="F540" t="s">
        <v>99</v>
      </c>
      <c r="G540" t="s">
        <v>41</v>
      </c>
      <c r="H540" t="s">
        <v>85</v>
      </c>
      <c r="I540">
        <v>1</v>
      </c>
      <c r="J540" s="1">
        <v>587.49</v>
      </c>
      <c r="K540">
        <v>0.09</v>
      </c>
      <c r="L540" s="1">
        <v>560.42999999999995</v>
      </c>
      <c r="M540" s="1">
        <v>178.2</v>
      </c>
      <c r="N540" s="1">
        <v>82.7</v>
      </c>
      <c r="O540" t="s">
        <v>8</v>
      </c>
      <c r="P540">
        <v>3</v>
      </c>
      <c r="Q540" t="b">
        <v>0</v>
      </c>
      <c r="R540" t="s">
        <v>18</v>
      </c>
      <c r="S540">
        <v>6</v>
      </c>
      <c r="T540" t="e">
        <f>IF(#REF!&lt;=25, "Young Age", IF(#REF!&lt;=40, "Mid Age", "Old Age"))</f>
        <v>#REF!</v>
      </c>
      <c r="U540" t="str">
        <f t="shared" si="8"/>
        <v>Delayed</v>
      </c>
    </row>
    <row r="541" spans="1:21" x14ac:dyDescent="0.35">
      <c r="A541" t="s">
        <v>1238</v>
      </c>
      <c r="B541" s="13">
        <v>44084</v>
      </c>
      <c r="C541" t="s">
        <v>1239</v>
      </c>
      <c r="D541" t="s">
        <v>3</v>
      </c>
      <c r="E541" t="s">
        <v>4</v>
      </c>
      <c r="F541" t="s">
        <v>5</v>
      </c>
      <c r="G541" t="s">
        <v>41</v>
      </c>
      <c r="H541" t="s">
        <v>477</v>
      </c>
      <c r="I541">
        <v>1</v>
      </c>
      <c r="J541" s="1">
        <v>565.12</v>
      </c>
      <c r="K541">
        <v>0.08</v>
      </c>
      <c r="L541" s="1">
        <v>539.57000000000005</v>
      </c>
      <c r="M541" s="1">
        <v>249.41</v>
      </c>
      <c r="N541" s="1">
        <v>49.52</v>
      </c>
      <c r="O541" t="s">
        <v>57</v>
      </c>
      <c r="P541">
        <v>4</v>
      </c>
      <c r="Q541" t="b">
        <v>0</v>
      </c>
      <c r="R541" t="s">
        <v>18</v>
      </c>
      <c r="S541">
        <v>4</v>
      </c>
      <c r="T541" t="e">
        <f>IF(#REF!&lt;=25, "Young Age", IF(#REF!&lt;=40, "Mid Age", "Old Age"))</f>
        <v>#REF!</v>
      </c>
      <c r="U541" t="str">
        <f t="shared" si="8"/>
        <v>Okay</v>
      </c>
    </row>
    <row r="542" spans="1:21" x14ac:dyDescent="0.35">
      <c r="A542" t="s">
        <v>1240</v>
      </c>
      <c r="B542" s="13">
        <v>44822</v>
      </c>
      <c r="C542" t="s">
        <v>1241</v>
      </c>
      <c r="D542" t="s">
        <v>47</v>
      </c>
      <c r="E542" t="s">
        <v>53</v>
      </c>
      <c r="F542" t="s">
        <v>54</v>
      </c>
      <c r="G542" t="s">
        <v>16</v>
      </c>
      <c r="H542" t="s">
        <v>390</v>
      </c>
      <c r="I542">
        <v>9</v>
      </c>
      <c r="J542" s="1">
        <v>2226.0700000000002</v>
      </c>
      <c r="K542">
        <v>0.16</v>
      </c>
      <c r="L542" s="1">
        <v>18524.57</v>
      </c>
      <c r="M542" s="1">
        <v>7612.81</v>
      </c>
      <c r="N542" s="1">
        <v>50.45</v>
      </c>
      <c r="O542" t="s">
        <v>30</v>
      </c>
      <c r="P542">
        <v>4</v>
      </c>
      <c r="Q542" t="b">
        <v>0</v>
      </c>
      <c r="R542" t="s">
        <v>18</v>
      </c>
      <c r="S542">
        <v>2</v>
      </c>
      <c r="T542" t="e">
        <f>IF(#REF!&lt;=25, "Young Age", IF(#REF!&lt;=40, "Mid Age", "Old Age"))</f>
        <v>#REF!</v>
      </c>
      <c r="U542" t="str">
        <f t="shared" si="8"/>
        <v>Okay</v>
      </c>
    </row>
    <row r="543" spans="1:21" x14ac:dyDescent="0.35">
      <c r="A543" t="s">
        <v>1242</v>
      </c>
      <c r="B543" s="13">
        <v>45033</v>
      </c>
      <c r="C543" t="s">
        <v>1243</v>
      </c>
      <c r="D543" t="s">
        <v>47</v>
      </c>
      <c r="E543" t="s">
        <v>53</v>
      </c>
      <c r="F543" t="s">
        <v>170</v>
      </c>
      <c r="G543" t="s">
        <v>16</v>
      </c>
      <c r="H543" t="s">
        <v>209</v>
      </c>
      <c r="I543">
        <v>6</v>
      </c>
      <c r="J543" s="1">
        <v>438.59</v>
      </c>
      <c r="K543">
        <v>0.26</v>
      </c>
      <c r="L543" s="1">
        <v>2826.56</v>
      </c>
      <c r="M543" s="1">
        <v>1014.02</v>
      </c>
      <c r="N543" s="1">
        <v>64.81</v>
      </c>
      <c r="O543" t="s">
        <v>36</v>
      </c>
      <c r="P543">
        <v>3</v>
      </c>
      <c r="Q543" t="b">
        <v>1</v>
      </c>
      <c r="R543" t="s">
        <v>9</v>
      </c>
      <c r="S543">
        <v>9</v>
      </c>
      <c r="T543" t="e">
        <f>IF(#REF!&lt;=25, "Young Age", IF(#REF!&lt;=40, "Mid Age", "Old Age"))</f>
        <v>#REF!</v>
      </c>
      <c r="U543" t="str">
        <f t="shared" si="8"/>
        <v>Over Delayed</v>
      </c>
    </row>
    <row r="544" spans="1:21" x14ac:dyDescent="0.35">
      <c r="A544" t="s">
        <v>1244</v>
      </c>
      <c r="B544" s="13">
        <v>44692</v>
      </c>
      <c r="C544" t="s">
        <v>1245</v>
      </c>
      <c r="D544" t="s">
        <v>47</v>
      </c>
      <c r="E544" t="s">
        <v>89</v>
      </c>
      <c r="F544" t="s">
        <v>119</v>
      </c>
      <c r="G544" t="s">
        <v>16</v>
      </c>
      <c r="H544" t="s">
        <v>209</v>
      </c>
      <c r="I544">
        <v>6</v>
      </c>
      <c r="J544" s="1">
        <v>2429.19</v>
      </c>
      <c r="K544">
        <v>0.34</v>
      </c>
      <c r="L544" s="1">
        <v>14916.43</v>
      </c>
      <c r="M544" s="1">
        <v>8055.68</v>
      </c>
      <c r="N544" s="1">
        <v>40.450000000000003</v>
      </c>
      <c r="O544" t="s">
        <v>57</v>
      </c>
      <c r="P544">
        <v>2</v>
      </c>
      <c r="Q544" t="b">
        <v>0</v>
      </c>
      <c r="R544" t="s">
        <v>18</v>
      </c>
      <c r="S544">
        <v>10</v>
      </c>
      <c r="T544" t="e">
        <f>IF(#REF!&lt;=25, "Young Age", IF(#REF!&lt;=40, "Mid Age", "Old Age"))</f>
        <v>#REF!</v>
      </c>
      <c r="U544" t="str">
        <f t="shared" si="8"/>
        <v>Over Delayed</v>
      </c>
    </row>
    <row r="545" spans="1:21" x14ac:dyDescent="0.35">
      <c r="A545" t="s">
        <v>1246</v>
      </c>
      <c r="B545" s="13">
        <v>44514</v>
      </c>
      <c r="C545" t="s">
        <v>1247</v>
      </c>
      <c r="D545" t="s">
        <v>3</v>
      </c>
      <c r="E545" t="s">
        <v>89</v>
      </c>
      <c r="F545" t="s">
        <v>90</v>
      </c>
      <c r="G545" t="s">
        <v>105</v>
      </c>
      <c r="H545" t="s">
        <v>438</v>
      </c>
      <c r="I545">
        <v>7</v>
      </c>
      <c r="J545" s="1">
        <v>19882.939999999999</v>
      </c>
      <c r="K545">
        <v>0.28999999999999998</v>
      </c>
      <c r="L545" s="1">
        <v>79433.81</v>
      </c>
      <c r="M545" s="1">
        <v>8287.36</v>
      </c>
      <c r="N545" s="1">
        <v>61</v>
      </c>
      <c r="O545" t="s">
        <v>30</v>
      </c>
      <c r="P545">
        <v>1</v>
      </c>
      <c r="Q545" t="b">
        <v>0</v>
      </c>
      <c r="R545" t="s">
        <v>115</v>
      </c>
      <c r="S545">
        <v>3</v>
      </c>
      <c r="T545" t="e">
        <f>IF(#REF!&lt;=25, "Young Age", IF(#REF!&lt;=40, "Mid Age", "Old Age"))</f>
        <v>#REF!</v>
      </c>
      <c r="U545" t="str">
        <f t="shared" si="8"/>
        <v>Okay</v>
      </c>
    </row>
    <row r="546" spans="1:21" x14ac:dyDescent="0.35">
      <c r="A546" t="s">
        <v>1248</v>
      </c>
      <c r="B546" s="13">
        <v>44473</v>
      </c>
      <c r="C546" t="s">
        <v>1249</v>
      </c>
      <c r="D546" t="s">
        <v>13</v>
      </c>
      <c r="E546" t="s">
        <v>53</v>
      </c>
      <c r="F546" t="s">
        <v>79</v>
      </c>
      <c r="G546" t="s">
        <v>124</v>
      </c>
      <c r="H546" t="s">
        <v>254</v>
      </c>
      <c r="I546">
        <v>4</v>
      </c>
      <c r="J546" s="1">
        <v>13459.01</v>
      </c>
      <c r="K546">
        <v>0.32</v>
      </c>
      <c r="L546" s="1">
        <v>39215.89</v>
      </c>
      <c r="M546" s="1">
        <v>10601.74</v>
      </c>
      <c r="N546" s="1">
        <v>48.42</v>
      </c>
      <c r="O546" t="s">
        <v>49</v>
      </c>
      <c r="P546">
        <v>2</v>
      </c>
      <c r="Q546" t="b">
        <v>0</v>
      </c>
      <c r="R546" t="s">
        <v>18</v>
      </c>
      <c r="S546">
        <v>6</v>
      </c>
      <c r="T546" t="e">
        <f>IF(#REF!&lt;=25, "Young Age", IF(#REF!&lt;=40, "Mid Age", "Old Age"))</f>
        <v>#REF!</v>
      </c>
      <c r="U546" t="str">
        <f t="shared" si="8"/>
        <v>Delayed</v>
      </c>
    </row>
    <row r="547" spans="1:21" x14ac:dyDescent="0.35">
      <c r="A547" t="s">
        <v>1250</v>
      </c>
      <c r="B547" s="13">
        <v>45071</v>
      </c>
      <c r="C547" t="s">
        <v>1251</v>
      </c>
      <c r="D547" t="s">
        <v>13</v>
      </c>
      <c r="E547" t="s">
        <v>89</v>
      </c>
      <c r="F547" t="s">
        <v>90</v>
      </c>
      <c r="G547" t="s">
        <v>23</v>
      </c>
      <c r="H547" t="s">
        <v>71</v>
      </c>
      <c r="I547">
        <v>10</v>
      </c>
      <c r="J547" s="1">
        <v>31142.23</v>
      </c>
      <c r="K547">
        <v>0.12</v>
      </c>
      <c r="L547" s="1">
        <v>475250.99</v>
      </c>
      <c r="M547" s="1">
        <v>133297.06</v>
      </c>
      <c r="N547" s="1">
        <v>90.65</v>
      </c>
      <c r="O547" t="s">
        <v>57</v>
      </c>
      <c r="P547">
        <v>4</v>
      </c>
      <c r="Q547" t="b">
        <v>0</v>
      </c>
      <c r="R547" t="s">
        <v>63</v>
      </c>
      <c r="S547">
        <v>1</v>
      </c>
      <c r="T547" t="e">
        <f>IF(#REF!&lt;=25, "Young Age", IF(#REF!&lt;=40, "Mid Age", "Old Age"))</f>
        <v>#REF!</v>
      </c>
      <c r="U547" t="str">
        <f t="shared" si="8"/>
        <v>Okay</v>
      </c>
    </row>
    <row r="548" spans="1:21" x14ac:dyDescent="0.35">
      <c r="A548" t="s">
        <v>1252</v>
      </c>
      <c r="B548" s="13">
        <v>44108</v>
      </c>
      <c r="C548" t="s">
        <v>1253</v>
      </c>
      <c r="D548" t="s">
        <v>13</v>
      </c>
      <c r="E548" t="s">
        <v>4</v>
      </c>
      <c r="F548" t="s">
        <v>5</v>
      </c>
      <c r="G548" t="s">
        <v>23</v>
      </c>
      <c r="H548" t="s">
        <v>71</v>
      </c>
      <c r="I548">
        <v>5</v>
      </c>
      <c r="J548" s="1">
        <v>11291.76</v>
      </c>
      <c r="K548">
        <v>0.4</v>
      </c>
      <c r="L548" s="1">
        <v>21297.23</v>
      </c>
      <c r="M548" s="1">
        <v>5332.78</v>
      </c>
      <c r="N548" s="1">
        <v>40.67</v>
      </c>
      <c r="O548" t="s">
        <v>49</v>
      </c>
      <c r="P548">
        <v>4</v>
      </c>
      <c r="Q548" t="b">
        <v>0</v>
      </c>
      <c r="R548" t="s">
        <v>115</v>
      </c>
      <c r="S548" t="s">
        <v>2149</v>
      </c>
      <c r="T548" t="e">
        <f>IF(#REF!&lt;=25, "Young Age", IF(#REF!&lt;=40, "Mid Age", "Old Age"))</f>
        <v>#REF!</v>
      </c>
      <c r="U548" t="str">
        <f t="shared" si="8"/>
        <v>Over Delayed</v>
      </c>
    </row>
    <row r="549" spans="1:21" x14ac:dyDescent="0.35">
      <c r="A549" t="s">
        <v>1254</v>
      </c>
      <c r="B549" s="13">
        <v>44814</v>
      </c>
      <c r="C549" t="s">
        <v>1255</v>
      </c>
      <c r="D549" t="s">
        <v>13</v>
      </c>
      <c r="E549" t="s">
        <v>61</v>
      </c>
      <c r="F549" t="s">
        <v>271</v>
      </c>
      <c r="G549" t="s">
        <v>124</v>
      </c>
      <c r="H549" t="s">
        <v>139</v>
      </c>
      <c r="J549" s="1">
        <v>541.85</v>
      </c>
      <c r="K549">
        <v>0.04</v>
      </c>
      <c r="L549" s="1">
        <v>618.29</v>
      </c>
      <c r="M549" s="1">
        <v>107.23</v>
      </c>
      <c r="N549" s="1">
        <v>87.16</v>
      </c>
      <c r="O549" t="s">
        <v>57</v>
      </c>
      <c r="P549">
        <v>2</v>
      </c>
      <c r="Q549" t="b">
        <v>0</v>
      </c>
      <c r="R549" t="s">
        <v>18</v>
      </c>
      <c r="S549">
        <v>1</v>
      </c>
      <c r="T549" t="e">
        <f>IF(#REF!&lt;=25, "Young Age", IF(#REF!&lt;=40, "Mid Age", "Old Age"))</f>
        <v>#REF!</v>
      </c>
      <c r="U549" t="str">
        <f t="shared" si="8"/>
        <v>Okay</v>
      </c>
    </row>
    <row r="550" spans="1:21" x14ac:dyDescent="0.35">
      <c r="A550" t="s">
        <v>1256</v>
      </c>
      <c r="B550" s="13">
        <v>45323</v>
      </c>
      <c r="C550" t="s">
        <v>1257</v>
      </c>
      <c r="D550" t="s">
        <v>47</v>
      </c>
      <c r="E550" t="s">
        <v>89</v>
      </c>
      <c r="F550" t="s">
        <v>299</v>
      </c>
      <c r="G550" t="s">
        <v>105</v>
      </c>
      <c r="H550" t="s">
        <v>282</v>
      </c>
      <c r="I550">
        <v>6</v>
      </c>
      <c r="J550" s="1">
        <v>71178.539999999994</v>
      </c>
      <c r="K550">
        <v>0.11</v>
      </c>
      <c r="L550" s="1">
        <v>482509.98</v>
      </c>
      <c r="M550" s="1">
        <v>50570.5</v>
      </c>
      <c r="N550" s="1">
        <v>74.900000000000006</v>
      </c>
      <c r="O550" t="s">
        <v>57</v>
      </c>
      <c r="P550">
        <v>3</v>
      </c>
      <c r="Q550" t="b">
        <v>0</v>
      </c>
      <c r="R550" t="s">
        <v>18</v>
      </c>
      <c r="S550">
        <v>2</v>
      </c>
      <c r="T550" t="e">
        <f>IF(#REF!&lt;=25, "Young Age", IF(#REF!&lt;=40, "Mid Age", "Old Age"))</f>
        <v>#REF!</v>
      </c>
      <c r="U550" t="str">
        <f t="shared" si="8"/>
        <v>Okay</v>
      </c>
    </row>
    <row r="551" spans="1:21" x14ac:dyDescent="0.35">
      <c r="A551" t="s">
        <v>1258</v>
      </c>
      <c r="B551" s="13">
        <v>44584</v>
      </c>
      <c r="C551" t="s">
        <v>1259</v>
      </c>
      <c r="D551" t="s">
        <v>3</v>
      </c>
      <c r="E551" t="s">
        <v>61</v>
      </c>
      <c r="F551" t="s">
        <v>104</v>
      </c>
      <c r="G551" t="s">
        <v>41</v>
      </c>
      <c r="H551" t="s">
        <v>42</v>
      </c>
      <c r="I551">
        <v>1</v>
      </c>
      <c r="J551" s="1">
        <v>293.64999999999998</v>
      </c>
      <c r="K551">
        <v>0.21</v>
      </c>
      <c r="L551" s="1">
        <v>216.04</v>
      </c>
      <c r="M551" s="1">
        <v>87.2</v>
      </c>
      <c r="N551" s="1">
        <v>77.91</v>
      </c>
      <c r="O551" t="s">
        <v>49</v>
      </c>
      <c r="P551">
        <v>3</v>
      </c>
      <c r="Q551" t="b">
        <v>0</v>
      </c>
      <c r="R551" t="s">
        <v>115</v>
      </c>
      <c r="S551">
        <v>3</v>
      </c>
      <c r="T551" t="e">
        <f>IF(#REF!&lt;=25, "Young Age", IF(#REF!&lt;=40, "Mid Age", "Old Age"))</f>
        <v>#REF!</v>
      </c>
      <c r="U551" t="str">
        <f t="shared" si="8"/>
        <v>Okay</v>
      </c>
    </row>
    <row r="552" spans="1:21" x14ac:dyDescent="0.35">
      <c r="A552" t="s">
        <v>1260</v>
      </c>
      <c r="B552" s="13">
        <v>44345</v>
      </c>
      <c r="C552" t="s">
        <v>1261</v>
      </c>
      <c r="D552" t="s">
        <v>3</v>
      </c>
      <c r="E552" t="s">
        <v>14</v>
      </c>
      <c r="F552" t="s">
        <v>84</v>
      </c>
      <c r="G552" t="s">
        <v>55</v>
      </c>
      <c r="H552" t="s">
        <v>56</v>
      </c>
      <c r="I552">
        <v>5</v>
      </c>
      <c r="J552" s="1">
        <v>3466.72</v>
      </c>
      <c r="K552">
        <v>0.15</v>
      </c>
      <c r="L552" s="1">
        <v>22647.02</v>
      </c>
      <c r="M552" s="1">
        <v>8403.2999999999993</v>
      </c>
      <c r="N552" s="1">
        <v>47.97</v>
      </c>
      <c r="O552" t="s">
        <v>36</v>
      </c>
      <c r="P552">
        <v>3</v>
      </c>
      <c r="Q552" t="b">
        <v>0</v>
      </c>
      <c r="R552" t="s">
        <v>37</v>
      </c>
      <c r="S552">
        <v>8</v>
      </c>
      <c r="T552" t="e">
        <f>IF(#REF!&lt;=25, "Young Age", IF(#REF!&lt;=40, "Mid Age", "Old Age"))</f>
        <v>#REF!</v>
      </c>
      <c r="U552" t="str">
        <f t="shared" si="8"/>
        <v>Over Delayed</v>
      </c>
    </row>
    <row r="553" spans="1:21" x14ac:dyDescent="0.35">
      <c r="A553" t="s">
        <v>1262</v>
      </c>
      <c r="B553" s="13">
        <v>44801</v>
      </c>
      <c r="C553" t="s">
        <v>1263</v>
      </c>
      <c r="D553" t="s">
        <v>13</v>
      </c>
      <c r="E553" t="s">
        <v>61</v>
      </c>
      <c r="F553" t="s">
        <v>104</v>
      </c>
      <c r="G553" t="s">
        <v>124</v>
      </c>
      <c r="H553" t="s">
        <v>125</v>
      </c>
      <c r="I553">
        <v>1</v>
      </c>
      <c r="J553" s="1">
        <v>8591.44</v>
      </c>
      <c r="K553">
        <v>0.03</v>
      </c>
      <c r="L553" s="1">
        <v>11764.77</v>
      </c>
      <c r="M553" s="1">
        <v>2988.26</v>
      </c>
      <c r="N553" s="1">
        <v>69.66</v>
      </c>
      <c r="O553" t="s">
        <v>57</v>
      </c>
      <c r="P553">
        <v>3</v>
      </c>
      <c r="Q553" t="b">
        <v>0</v>
      </c>
      <c r="R553" t="s">
        <v>175</v>
      </c>
      <c r="S553">
        <v>8</v>
      </c>
      <c r="T553" t="e">
        <f>IF(#REF!&lt;=25, "Young Age", IF(#REF!&lt;=40, "Mid Age", "Old Age"))</f>
        <v>#REF!</v>
      </c>
      <c r="U553" t="str">
        <f t="shared" si="8"/>
        <v>Over Delayed</v>
      </c>
    </row>
    <row r="554" spans="1:21" x14ac:dyDescent="0.35">
      <c r="A554" t="s">
        <v>1264</v>
      </c>
      <c r="B554" s="13">
        <v>44304</v>
      </c>
      <c r="C554" t="s">
        <v>1265</v>
      </c>
      <c r="D554" t="s">
        <v>47</v>
      </c>
      <c r="E554" t="s">
        <v>53</v>
      </c>
      <c r="F554" t="s">
        <v>114</v>
      </c>
      <c r="G554" t="s">
        <v>16</v>
      </c>
      <c r="H554" t="s">
        <v>80</v>
      </c>
      <c r="I554">
        <v>7</v>
      </c>
      <c r="J554" s="1">
        <v>1384.15</v>
      </c>
      <c r="K554">
        <v>0.23</v>
      </c>
      <c r="L554" s="1">
        <v>10118.86</v>
      </c>
      <c r="M554" s="1">
        <v>4454.79</v>
      </c>
      <c r="N554" s="1">
        <v>62.32</v>
      </c>
      <c r="O554" t="s">
        <v>8</v>
      </c>
      <c r="P554">
        <v>4</v>
      </c>
      <c r="Q554" t="b">
        <v>0</v>
      </c>
      <c r="R554" t="s">
        <v>18</v>
      </c>
      <c r="S554">
        <v>9</v>
      </c>
      <c r="T554" t="e">
        <f>IF(#REF!&lt;=25, "Young Age", IF(#REF!&lt;=40, "Mid Age", "Old Age"))</f>
        <v>#REF!</v>
      </c>
      <c r="U554" t="str">
        <f t="shared" si="8"/>
        <v>Over Delayed</v>
      </c>
    </row>
    <row r="555" spans="1:21" x14ac:dyDescent="0.35">
      <c r="A555" t="s">
        <v>1266</v>
      </c>
      <c r="B555" s="13">
        <v>44030</v>
      </c>
      <c r="C555" t="s">
        <v>1267</v>
      </c>
      <c r="D555" t="s">
        <v>13</v>
      </c>
      <c r="E555" t="s">
        <v>14</v>
      </c>
      <c r="F555" t="s">
        <v>28</v>
      </c>
      <c r="G555" t="s">
        <v>41</v>
      </c>
      <c r="H555" t="s">
        <v>261</v>
      </c>
      <c r="I555">
        <v>4</v>
      </c>
      <c r="J555" s="1">
        <v>565.16999999999996</v>
      </c>
      <c r="K555">
        <v>0.05</v>
      </c>
      <c r="L555" s="1">
        <v>2606.02</v>
      </c>
      <c r="M555" s="1">
        <v>1227.07</v>
      </c>
      <c r="N555" s="1">
        <v>78.290000000000006</v>
      </c>
      <c r="O555" t="s">
        <v>49</v>
      </c>
      <c r="P555">
        <v>4</v>
      </c>
      <c r="Q555" t="b">
        <v>0</v>
      </c>
      <c r="R555" t="s">
        <v>18</v>
      </c>
      <c r="S555" t="s">
        <v>2149</v>
      </c>
      <c r="T555" t="e">
        <f>IF(#REF!&lt;=25, "Young Age", IF(#REF!&lt;=40, "Mid Age", "Old Age"))</f>
        <v>#REF!</v>
      </c>
      <c r="U555" t="str">
        <f t="shared" si="8"/>
        <v>Over Delayed</v>
      </c>
    </row>
    <row r="556" spans="1:21" x14ac:dyDescent="0.35">
      <c r="A556" t="s">
        <v>1268</v>
      </c>
      <c r="B556" s="13">
        <v>43841</v>
      </c>
      <c r="C556" t="s">
        <v>1269</v>
      </c>
      <c r="D556" t="s">
        <v>13</v>
      </c>
      <c r="E556" t="s">
        <v>4</v>
      </c>
      <c r="F556" t="s">
        <v>148</v>
      </c>
      <c r="G556" t="s">
        <v>124</v>
      </c>
      <c r="H556" t="s">
        <v>139</v>
      </c>
      <c r="I556">
        <v>7</v>
      </c>
      <c r="J556" s="1">
        <v>12178.99</v>
      </c>
      <c r="K556">
        <v>0.01</v>
      </c>
      <c r="L556" s="1">
        <v>66009.55</v>
      </c>
      <c r="M556" s="1">
        <v>17076.439999999999</v>
      </c>
      <c r="N556" s="1">
        <v>51.51</v>
      </c>
      <c r="O556" t="s">
        <v>57</v>
      </c>
      <c r="P556">
        <v>5</v>
      </c>
      <c r="Q556" t="b">
        <v>0</v>
      </c>
      <c r="R556" t="s">
        <v>63</v>
      </c>
      <c r="S556">
        <v>10</v>
      </c>
      <c r="T556" t="e">
        <f>IF(#REF!&lt;=25, "Young Age", IF(#REF!&lt;=40, "Mid Age", "Old Age"))</f>
        <v>#REF!</v>
      </c>
      <c r="U556" t="str">
        <f t="shared" si="8"/>
        <v>Over Delayed</v>
      </c>
    </row>
    <row r="557" spans="1:21" x14ac:dyDescent="0.35">
      <c r="A557" t="s">
        <v>1270</v>
      </c>
      <c r="B557" s="13">
        <v>45342</v>
      </c>
      <c r="C557" t="s">
        <v>1271</v>
      </c>
      <c r="D557" t="s">
        <v>47</v>
      </c>
      <c r="E557" t="s">
        <v>4</v>
      </c>
      <c r="F557" t="s">
        <v>34</v>
      </c>
      <c r="G557" t="s">
        <v>6</v>
      </c>
      <c r="H557" t="s">
        <v>353</v>
      </c>
      <c r="I557">
        <v>7</v>
      </c>
      <c r="J557" s="1">
        <v>447.52</v>
      </c>
      <c r="K557">
        <v>0.3</v>
      </c>
      <c r="L557" s="1">
        <v>2656.34</v>
      </c>
      <c r="M557" s="1">
        <v>182.91</v>
      </c>
      <c r="N557" s="1">
        <v>47.41</v>
      </c>
      <c r="O557" t="s">
        <v>43</v>
      </c>
      <c r="P557">
        <v>3</v>
      </c>
      <c r="Q557" t="b">
        <v>0</v>
      </c>
      <c r="R557" t="s">
        <v>175</v>
      </c>
      <c r="S557">
        <v>5</v>
      </c>
      <c r="T557" t="e">
        <f>IF(#REF!&lt;=25, "Young Age", IF(#REF!&lt;=40, "Mid Age", "Old Age"))</f>
        <v>#REF!</v>
      </c>
      <c r="U557" t="str">
        <f t="shared" si="8"/>
        <v>Delayed</v>
      </c>
    </row>
    <row r="558" spans="1:21" x14ac:dyDescent="0.35">
      <c r="A558" t="s">
        <v>1272</v>
      </c>
      <c r="B558" s="13">
        <v>43981</v>
      </c>
      <c r="C558" t="s">
        <v>1273</v>
      </c>
      <c r="D558" t="s">
        <v>13</v>
      </c>
      <c r="E558" t="s">
        <v>61</v>
      </c>
      <c r="F558" t="s">
        <v>104</v>
      </c>
      <c r="G558" t="s">
        <v>55</v>
      </c>
      <c r="H558" t="s">
        <v>67</v>
      </c>
      <c r="I558">
        <v>10</v>
      </c>
      <c r="J558" s="1">
        <v>2738.51</v>
      </c>
      <c r="K558">
        <v>0.12</v>
      </c>
      <c r="L558" s="1">
        <v>31229.97</v>
      </c>
      <c r="M558" s="1">
        <v>10815.02</v>
      </c>
      <c r="N558" s="1">
        <v>81.19</v>
      </c>
      <c r="O558" t="s">
        <v>49</v>
      </c>
      <c r="P558">
        <v>5</v>
      </c>
      <c r="Q558" t="b">
        <v>0</v>
      </c>
      <c r="R558" t="s">
        <v>18</v>
      </c>
      <c r="S558">
        <v>4</v>
      </c>
      <c r="T558" t="e">
        <f>IF(#REF!&lt;=25, "Young Age", IF(#REF!&lt;=40, "Mid Age", "Old Age"))</f>
        <v>#REF!</v>
      </c>
      <c r="U558" t="str">
        <f t="shared" si="8"/>
        <v>Okay</v>
      </c>
    </row>
    <row r="559" spans="1:21" x14ac:dyDescent="0.35">
      <c r="A559" t="s">
        <v>1274</v>
      </c>
      <c r="B559" s="13">
        <v>44862</v>
      </c>
      <c r="C559" t="s">
        <v>1275</v>
      </c>
      <c r="D559" t="s">
        <v>3</v>
      </c>
      <c r="E559" t="s">
        <v>14</v>
      </c>
      <c r="F559" t="s">
        <v>15</v>
      </c>
      <c r="G559" t="s">
        <v>124</v>
      </c>
      <c r="H559" t="s">
        <v>125</v>
      </c>
      <c r="J559" s="1">
        <v>10898.37</v>
      </c>
      <c r="K559">
        <v>0.05</v>
      </c>
      <c r="L559" s="1">
        <v>11714.4</v>
      </c>
      <c r="M559" s="1">
        <v>2224.4699999999998</v>
      </c>
      <c r="N559" s="1">
        <v>82.53</v>
      </c>
      <c r="O559" t="s">
        <v>8</v>
      </c>
      <c r="P559">
        <v>5</v>
      </c>
      <c r="Q559" t="b">
        <v>0</v>
      </c>
      <c r="R559" t="s">
        <v>63</v>
      </c>
      <c r="S559">
        <v>10</v>
      </c>
      <c r="T559" t="e">
        <f>IF(#REF!&lt;=25, "Young Age", IF(#REF!&lt;=40, "Mid Age", "Old Age"))</f>
        <v>#REF!</v>
      </c>
      <c r="U559" t="str">
        <f t="shared" si="8"/>
        <v>Over Delayed</v>
      </c>
    </row>
    <row r="560" spans="1:21" x14ac:dyDescent="0.35">
      <c r="A560" t="s">
        <v>1276</v>
      </c>
      <c r="B560" s="13">
        <v>44735</v>
      </c>
      <c r="C560" t="s">
        <v>1277</v>
      </c>
      <c r="D560" t="s">
        <v>13</v>
      </c>
      <c r="E560" t="s">
        <v>89</v>
      </c>
      <c r="F560" t="s">
        <v>99</v>
      </c>
      <c r="G560" t="s">
        <v>105</v>
      </c>
      <c r="H560" t="s">
        <v>282</v>
      </c>
      <c r="I560">
        <v>8</v>
      </c>
      <c r="J560" s="1">
        <v>48445.16</v>
      </c>
      <c r="K560">
        <v>0.26</v>
      </c>
      <c r="L560" s="1">
        <v>371584.08</v>
      </c>
      <c r="M560" s="1">
        <v>63270.83</v>
      </c>
      <c r="N560" s="1">
        <v>70.06</v>
      </c>
      <c r="O560" t="s">
        <v>43</v>
      </c>
      <c r="P560">
        <v>5</v>
      </c>
      <c r="Q560" t="b">
        <v>0</v>
      </c>
      <c r="R560" t="s">
        <v>18</v>
      </c>
      <c r="S560">
        <v>8</v>
      </c>
      <c r="T560" t="e">
        <f>IF(#REF!&lt;=25, "Young Age", IF(#REF!&lt;=40, "Mid Age", "Old Age"))</f>
        <v>#REF!</v>
      </c>
      <c r="U560" t="str">
        <f t="shared" si="8"/>
        <v>Over Delayed</v>
      </c>
    </row>
    <row r="561" spans="1:21" x14ac:dyDescent="0.35">
      <c r="A561" t="s">
        <v>1278</v>
      </c>
      <c r="B561" s="13">
        <v>44697</v>
      </c>
      <c r="C561" t="s">
        <v>1279</v>
      </c>
      <c r="D561" t="s">
        <v>47</v>
      </c>
      <c r="E561" t="s">
        <v>14</v>
      </c>
      <c r="F561" t="s">
        <v>15</v>
      </c>
      <c r="G561" t="s">
        <v>124</v>
      </c>
      <c r="H561" t="s">
        <v>125</v>
      </c>
      <c r="I561">
        <v>6</v>
      </c>
      <c r="J561" s="1">
        <v>1826.8</v>
      </c>
      <c r="K561">
        <v>7.0000000000000007E-2</v>
      </c>
      <c r="L561" s="1">
        <v>14790.65</v>
      </c>
      <c r="M561" s="1">
        <v>3473.29</v>
      </c>
      <c r="N561" s="1">
        <v>74.41</v>
      </c>
      <c r="O561" t="s">
        <v>49</v>
      </c>
      <c r="P561">
        <v>2</v>
      </c>
      <c r="Q561" t="b">
        <v>1</v>
      </c>
      <c r="R561" t="s">
        <v>9</v>
      </c>
      <c r="S561">
        <v>6</v>
      </c>
      <c r="T561" t="e">
        <f>IF(#REF!&lt;=25, "Young Age", IF(#REF!&lt;=40, "Mid Age", "Old Age"))</f>
        <v>#REF!</v>
      </c>
      <c r="U561" t="str">
        <f t="shared" si="8"/>
        <v>Delayed</v>
      </c>
    </row>
    <row r="562" spans="1:21" x14ac:dyDescent="0.35">
      <c r="A562" t="s">
        <v>1280</v>
      </c>
      <c r="B562" s="13">
        <v>44004</v>
      </c>
      <c r="C562" t="s">
        <v>1281</v>
      </c>
      <c r="D562" t="s">
        <v>47</v>
      </c>
      <c r="E562" t="s">
        <v>14</v>
      </c>
      <c r="F562" t="s">
        <v>28</v>
      </c>
      <c r="G562" t="s">
        <v>41</v>
      </c>
      <c r="H562" t="s">
        <v>261</v>
      </c>
      <c r="I562">
        <v>3</v>
      </c>
      <c r="J562" s="1">
        <v>541.30999999999995</v>
      </c>
      <c r="K562">
        <v>0.06</v>
      </c>
      <c r="L562" s="1">
        <v>2139.34</v>
      </c>
      <c r="M562" s="1">
        <v>731.39</v>
      </c>
      <c r="N562" s="1">
        <v>56.62</v>
      </c>
      <c r="O562" t="s">
        <v>43</v>
      </c>
      <c r="P562">
        <v>5</v>
      </c>
      <c r="Q562" t="b">
        <v>0</v>
      </c>
      <c r="R562" t="s">
        <v>18</v>
      </c>
      <c r="S562">
        <v>8</v>
      </c>
      <c r="T562" t="e">
        <f>IF(#REF!&lt;=25, "Young Age", IF(#REF!&lt;=40, "Mid Age", "Old Age"))</f>
        <v>#REF!</v>
      </c>
      <c r="U562" t="str">
        <f t="shared" si="8"/>
        <v>Over Delayed</v>
      </c>
    </row>
    <row r="563" spans="1:21" x14ac:dyDescent="0.35">
      <c r="A563" t="s">
        <v>1282</v>
      </c>
      <c r="B563" s="13">
        <v>44168</v>
      </c>
      <c r="C563" t="s">
        <v>1283</v>
      </c>
      <c r="D563" t="s">
        <v>13</v>
      </c>
      <c r="E563" t="s">
        <v>14</v>
      </c>
      <c r="F563" t="s">
        <v>84</v>
      </c>
      <c r="G563" t="s">
        <v>41</v>
      </c>
      <c r="H563" t="s">
        <v>129</v>
      </c>
      <c r="I563">
        <v>2</v>
      </c>
      <c r="J563" s="1">
        <v>1291.54</v>
      </c>
      <c r="K563">
        <v>0.28999999999999998</v>
      </c>
      <c r="L563" s="1">
        <v>1186.6300000000001</v>
      </c>
      <c r="M563" s="1">
        <v>359.86</v>
      </c>
      <c r="N563" s="1">
        <v>74.760000000000005</v>
      </c>
      <c r="O563" t="s">
        <v>30</v>
      </c>
      <c r="P563" t="s">
        <v>2149</v>
      </c>
      <c r="Q563" t="b">
        <v>0</v>
      </c>
      <c r="R563" t="s">
        <v>18</v>
      </c>
      <c r="S563">
        <v>4</v>
      </c>
      <c r="T563" t="e">
        <f>IF(#REF!&lt;=25, "Young Age", IF(#REF!&lt;=40, "Mid Age", "Old Age"))</f>
        <v>#REF!</v>
      </c>
      <c r="U563" t="str">
        <f t="shared" si="8"/>
        <v>Okay</v>
      </c>
    </row>
    <row r="564" spans="1:21" x14ac:dyDescent="0.35">
      <c r="A564" t="s">
        <v>1284</v>
      </c>
      <c r="B564" s="13">
        <v>43970</v>
      </c>
      <c r="C564" t="s">
        <v>1285</v>
      </c>
      <c r="D564" t="s">
        <v>3</v>
      </c>
      <c r="E564" t="s">
        <v>89</v>
      </c>
      <c r="F564" t="s">
        <v>99</v>
      </c>
      <c r="G564" t="s">
        <v>6</v>
      </c>
      <c r="H564" t="s">
        <v>353</v>
      </c>
      <c r="I564">
        <v>4</v>
      </c>
      <c r="J564" s="1">
        <v>429.54</v>
      </c>
      <c r="K564">
        <v>0.06</v>
      </c>
      <c r="L564" s="1">
        <v>2163.54</v>
      </c>
      <c r="M564" s="1">
        <v>148.28</v>
      </c>
      <c r="N564" s="1">
        <v>61.97</v>
      </c>
      <c r="O564" t="s">
        <v>49</v>
      </c>
      <c r="P564">
        <v>2</v>
      </c>
      <c r="Q564" t="b">
        <v>1</v>
      </c>
      <c r="R564" t="s">
        <v>9</v>
      </c>
      <c r="S564">
        <v>7</v>
      </c>
      <c r="T564" t="e">
        <f>IF(#REF!&lt;=25, "Young Age", IF(#REF!&lt;=40, "Mid Age", "Old Age"))</f>
        <v>#REF!</v>
      </c>
      <c r="U564" t="str">
        <f t="shared" si="8"/>
        <v>Delayed</v>
      </c>
    </row>
    <row r="565" spans="1:21" x14ac:dyDescent="0.35">
      <c r="A565" t="s">
        <v>1286</v>
      </c>
      <c r="B565" s="13">
        <v>45122</v>
      </c>
      <c r="C565" t="s">
        <v>1287</v>
      </c>
      <c r="D565" t="s">
        <v>3</v>
      </c>
      <c r="E565" t="s">
        <v>14</v>
      </c>
      <c r="F565" t="s">
        <v>22</v>
      </c>
      <c r="G565" t="s">
        <v>16</v>
      </c>
      <c r="H565" t="s">
        <v>390</v>
      </c>
      <c r="I565">
        <v>10</v>
      </c>
      <c r="J565" s="1">
        <v>2340.48</v>
      </c>
      <c r="K565">
        <v>0</v>
      </c>
      <c r="L565" s="1">
        <v>30857.19</v>
      </c>
      <c r="M565" s="1">
        <v>16769.400000000001</v>
      </c>
      <c r="N565" s="1">
        <v>65.62</v>
      </c>
      <c r="O565" t="s">
        <v>30</v>
      </c>
      <c r="P565">
        <v>2</v>
      </c>
      <c r="Q565" t="b">
        <v>0</v>
      </c>
      <c r="R565" t="s">
        <v>18</v>
      </c>
      <c r="S565">
        <v>9</v>
      </c>
      <c r="T565" t="e">
        <f>IF(#REF!&lt;=25, "Young Age", IF(#REF!&lt;=40, "Mid Age", "Old Age"))</f>
        <v>#REF!</v>
      </c>
      <c r="U565" t="str">
        <f t="shared" si="8"/>
        <v>Over Delayed</v>
      </c>
    </row>
    <row r="566" spans="1:21" x14ac:dyDescent="0.35">
      <c r="A566" t="s">
        <v>1288</v>
      </c>
      <c r="B566" s="13">
        <v>45323</v>
      </c>
      <c r="C566" t="s">
        <v>1289</v>
      </c>
      <c r="D566" t="s">
        <v>13</v>
      </c>
      <c r="E566" t="s">
        <v>61</v>
      </c>
      <c r="F566" t="s">
        <v>271</v>
      </c>
      <c r="G566" t="s">
        <v>55</v>
      </c>
      <c r="H566" t="s">
        <v>100</v>
      </c>
      <c r="I566">
        <v>6</v>
      </c>
      <c r="J566" s="1">
        <v>604.17999999999995</v>
      </c>
      <c r="K566">
        <v>0.2</v>
      </c>
      <c r="L566" s="1">
        <v>2790.47</v>
      </c>
      <c r="M566" s="1">
        <v>661.77</v>
      </c>
      <c r="N566" s="1">
        <v>84.73</v>
      </c>
      <c r="O566" t="s">
        <v>8</v>
      </c>
      <c r="P566">
        <v>5</v>
      </c>
      <c r="Q566" t="b">
        <v>0</v>
      </c>
      <c r="R566" t="s">
        <v>18</v>
      </c>
      <c r="S566">
        <v>2</v>
      </c>
      <c r="T566" t="e">
        <f>IF(#REF!&lt;=25, "Young Age", IF(#REF!&lt;=40, "Mid Age", "Old Age"))</f>
        <v>#REF!</v>
      </c>
      <c r="U566" t="str">
        <f t="shared" si="8"/>
        <v>Okay</v>
      </c>
    </row>
    <row r="567" spans="1:21" x14ac:dyDescent="0.35">
      <c r="A567" t="s">
        <v>1290</v>
      </c>
      <c r="B567" s="13">
        <v>43971</v>
      </c>
      <c r="C567" t="s">
        <v>1291</v>
      </c>
      <c r="D567" t="s">
        <v>3</v>
      </c>
      <c r="E567" t="s">
        <v>4</v>
      </c>
      <c r="F567" t="s">
        <v>5</v>
      </c>
      <c r="G567" t="s">
        <v>124</v>
      </c>
      <c r="H567" t="s">
        <v>195</v>
      </c>
      <c r="I567">
        <v>7</v>
      </c>
      <c r="J567" s="1">
        <v>4673.1899999999996</v>
      </c>
      <c r="K567">
        <v>0.33</v>
      </c>
      <c r="L567" s="1">
        <v>25140.26</v>
      </c>
      <c r="M567" s="1">
        <v>7454.48</v>
      </c>
      <c r="N567" s="1">
        <v>59.8</v>
      </c>
      <c r="O567" t="s">
        <v>43</v>
      </c>
      <c r="P567">
        <v>1</v>
      </c>
      <c r="Q567" t="b">
        <v>0</v>
      </c>
      <c r="R567" t="s">
        <v>18</v>
      </c>
      <c r="S567">
        <v>4</v>
      </c>
      <c r="T567" t="e">
        <f>IF(#REF!&lt;=25, "Young Age", IF(#REF!&lt;=40, "Mid Age", "Old Age"))</f>
        <v>#REF!</v>
      </c>
      <c r="U567" t="str">
        <f t="shared" si="8"/>
        <v>Okay</v>
      </c>
    </row>
    <row r="568" spans="1:21" x14ac:dyDescent="0.35">
      <c r="A568" t="s">
        <v>1292</v>
      </c>
      <c r="B568" s="13">
        <v>44825</v>
      </c>
      <c r="C568" t="s">
        <v>1293</v>
      </c>
      <c r="D568" t="s">
        <v>3</v>
      </c>
      <c r="E568" t="s">
        <v>61</v>
      </c>
      <c r="F568" t="s">
        <v>222</v>
      </c>
      <c r="G568" t="s">
        <v>124</v>
      </c>
      <c r="H568" t="s">
        <v>413</v>
      </c>
      <c r="I568">
        <v>2</v>
      </c>
      <c r="J568" s="1">
        <v>8645.73</v>
      </c>
      <c r="K568">
        <v>0.24</v>
      </c>
      <c r="L568" s="1">
        <v>14376.69</v>
      </c>
      <c r="M568" s="1">
        <v>3461.36</v>
      </c>
      <c r="N568" s="1">
        <v>94.07</v>
      </c>
      <c r="O568" t="s">
        <v>30</v>
      </c>
      <c r="P568">
        <v>4</v>
      </c>
      <c r="Q568" t="b">
        <v>1</v>
      </c>
      <c r="R568" t="s">
        <v>9</v>
      </c>
      <c r="S568">
        <v>3</v>
      </c>
      <c r="T568" t="e">
        <f>IF(#REF!&lt;=25, "Young Age", IF(#REF!&lt;=40, "Mid Age", "Old Age"))</f>
        <v>#REF!</v>
      </c>
      <c r="U568" t="str">
        <f t="shared" si="8"/>
        <v>Okay</v>
      </c>
    </row>
    <row r="569" spans="1:21" x14ac:dyDescent="0.35">
      <c r="A569" t="s">
        <v>1294</v>
      </c>
      <c r="B569" s="13">
        <v>45637</v>
      </c>
      <c r="C569" t="s">
        <v>1295</v>
      </c>
      <c r="D569" t="s">
        <v>13</v>
      </c>
      <c r="E569" t="s">
        <v>89</v>
      </c>
      <c r="F569" t="s">
        <v>119</v>
      </c>
      <c r="G569" t="s">
        <v>6</v>
      </c>
      <c r="H569" t="s">
        <v>353</v>
      </c>
      <c r="I569">
        <v>3</v>
      </c>
      <c r="J569" s="1">
        <v>55.73</v>
      </c>
      <c r="K569">
        <v>0.25</v>
      </c>
      <c r="L569" s="1">
        <v>132.26</v>
      </c>
      <c r="M569" s="1">
        <v>9.16</v>
      </c>
      <c r="N569" s="1">
        <v>67.069999999999993</v>
      </c>
      <c r="O569" t="s">
        <v>49</v>
      </c>
      <c r="P569">
        <v>4</v>
      </c>
      <c r="Q569" t="b">
        <v>1</v>
      </c>
      <c r="R569" t="s">
        <v>9</v>
      </c>
      <c r="S569">
        <v>9</v>
      </c>
      <c r="T569" t="e">
        <f>IF(#REF!&lt;=25, "Young Age", IF(#REF!&lt;=40, "Mid Age", "Old Age"))</f>
        <v>#REF!</v>
      </c>
      <c r="U569" t="str">
        <f t="shared" si="8"/>
        <v>Over Delayed</v>
      </c>
    </row>
    <row r="570" spans="1:21" x14ac:dyDescent="0.35">
      <c r="A570" t="s">
        <v>1296</v>
      </c>
      <c r="B570" s="13">
        <v>44754</v>
      </c>
      <c r="C570" t="s">
        <v>1297</v>
      </c>
      <c r="D570" t="s">
        <v>13</v>
      </c>
      <c r="E570" t="s">
        <v>89</v>
      </c>
      <c r="F570" t="s">
        <v>299</v>
      </c>
      <c r="G570" t="s">
        <v>16</v>
      </c>
      <c r="H570" t="s">
        <v>557</v>
      </c>
      <c r="I570">
        <v>4</v>
      </c>
      <c r="J570" s="1">
        <v>1632.26</v>
      </c>
      <c r="K570">
        <v>0.4</v>
      </c>
      <c r="L570" s="1">
        <v>5867.49</v>
      </c>
      <c r="M570" s="1">
        <v>2226.87</v>
      </c>
      <c r="N570" s="1">
        <v>61.99</v>
      </c>
      <c r="O570" t="s">
        <v>57</v>
      </c>
      <c r="P570">
        <v>4</v>
      </c>
      <c r="Q570" t="b">
        <v>0</v>
      </c>
      <c r="R570" t="s">
        <v>18</v>
      </c>
      <c r="S570">
        <v>7</v>
      </c>
      <c r="T570" t="e">
        <f>IF(#REF!&lt;=25, "Young Age", IF(#REF!&lt;=40, "Mid Age", "Old Age"))</f>
        <v>#REF!</v>
      </c>
      <c r="U570" t="str">
        <f t="shared" si="8"/>
        <v>Delayed</v>
      </c>
    </row>
    <row r="571" spans="1:21" x14ac:dyDescent="0.35">
      <c r="A571" t="s">
        <v>1298</v>
      </c>
      <c r="B571" s="13">
        <v>43880</v>
      </c>
      <c r="C571" t="s">
        <v>1299</v>
      </c>
      <c r="D571" t="s">
        <v>3</v>
      </c>
      <c r="E571" t="s">
        <v>89</v>
      </c>
      <c r="F571" t="s">
        <v>99</v>
      </c>
      <c r="G571" t="s">
        <v>55</v>
      </c>
      <c r="H571" t="s">
        <v>56</v>
      </c>
      <c r="I571">
        <v>8</v>
      </c>
      <c r="J571" s="1">
        <v>967.73</v>
      </c>
      <c r="K571">
        <v>0.36</v>
      </c>
      <c r="L571" s="1">
        <v>4117.6000000000004</v>
      </c>
      <c r="M571" s="1">
        <v>1596.92</v>
      </c>
      <c r="N571" s="1">
        <v>73.930000000000007</v>
      </c>
      <c r="O571" t="s">
        <v>49</v>
      </c>
      <c r="P571">
        <v>3</v>
      </c>
      <c r="Q571" t="b">
        <v>1</v>
      </c>
      <c r="R571" t="s">
        <v>9</v>
      </c>
      <c r="S571">
        <v>6</v>
      </c>
      <c r="T571" t="e">
        <f>IF(#REF!&lt;=25, "Young Age", IF(#REF!&lt;=40, "Mid Age", "Old Age"))</f>
        <v>#REF!</v>
      </c>
      <c r="U571" t="str">
        <f t="shared" si="8"/>
        <v>Delayed</v>
      </c>
    </row>
    <row r="572" spans="1:21" x14ac:dyDescent="0.35">
      <c r="A572" t="s">
        <v>1300</v>
      </c>
      <c r="B572" s="13">
        <v>45276</v>
      </c>
      <c r="C572" t="s">
        <v>1301</v>
      </c>
      <c r="D572" t="s">
        <v>13</v>
      </c>
      <c r="E572" t="s">
        <v>89</v>
      </c>
      <c r="F572" t="s">
        <v>119</v>
      </c>
      <c r="G572" t="s">
        <v>23</v>
      </c>
      <c r="H572" t="s">
        <v>199</v>
      </c>
      <c r="I572">
        <v>9</v>
      </c>
      <c r="J572" s="1">
        <v>14900.48</v>
      </c>
      <c r="K572">
        <v>0.2</v>
      </c>
      <c r="L572" s="1">
        <v>103163.26</v>
      </c>
      <c r="M572" s="1">
        <v>31355.08</v>
      </c>
      <c r="N572" s="1">
        <v>45.89</v>
      </c>
      <c r="O572" t="s">
        <v>8</v>
      </c>
      <c r="P572">
        <v>4</v>
      </c>
      <c r="Q572" t="b">
        <v>0</v>
      </c>
      <c r="R572" t="s">
        <v>18</v>
      </c>
      <c r="S572">
        <v>9</v>
      </c>
      <c r="T572" t="e">
        <f>IF(#REF!&lt;=25, "Young Age", IF(#REF!&lt;=40, "Mid Age", "Old Age"))</f>
        <v>#REF!</v>
      </c>
      <c r="U572" t="str">
        <f t="shared" si="8"/>
        <v>Over Delayed</v>
      </c>
    </row>
    <row r="573" spans="1:21" x14ac:dyDescent="0.35">
      <c r="A573" t="s">
        <v>1302</v>
      </c>
      <c r="B573" s="13">
        <v>45034</v>
      </c>
      <c r="C573" t="s">
        <v>1303</v>
      </c>
      <c r="D573" t="s">
        <v>47</v>
      </c>
      <c r="E573" t="s">
        <v>4</v>
      </c>
      <c r="F573" t="s">
        <v>34</v>
      </c>
      <c r="G573" t="s">
        <v>16</v>
      </c>
      <c r="H573" t="s">
        <v>390</v>
      </c>
      <c r="I573">
        <v>8</v>
      </c>
      <c r="J573" s="1">
        <v>899.3</v>
      </c>
      <c r="K573">
        <v>0.17</v>
      </c>
      <c r="L573" s="1">
        <v>8975.56</v>
      </c>
      <c r="M573" s="1">
        <v>3421.59</v>
      </c>
      <c r="N573" s="1">
        <v>71.55</v>
      </c>
      <c r="O573" t="s">
        <v>49</v>
      </c>
      <c r="P573">
        <v>2</v>
      </c>
      <c r="Q573" t="b">
        <v>0</v>
      </c>
      <c r="R573" t="s">
        <v>18</v>
      </c>
      <c r="S573">
        <v>3</v>
      </c>
      <c r="T573" t="e">
        <f>IF(#REF!&lt;=25, "Young Age", IF(#REF!&lt;=40, "Mid Age", "Old Age"))</f>
        <v>#REF!</v>
      </c>
      <c r="U573" t="str">
        <f t="shared" si="8"/>
        <v>Okay</v>
      </c>
    </row>
    <row r="574" spans="1:21" x14ac:dyDescent="0.35">
      <c r="A574" t="s">
        <v>1304</v>
      </c>
      <c r="B574" s="13">
        <v>44544</v>
      </c>
      <c r="C574" t="s">
        <v>1305</v>
      </c>
      <c r="D574" t="s">
        <v>13</v>
      </c>
      <c r="E574" t="s">
        <v>4</v>
      </c>
      <c r="F574" t="s">
        <v>148</v>
      </c>
      <c r="G574" t="s">
        <v>16</v>
      </c>
      <c r="H574" t="s">
        <v>209</v>
      </c>
      <c r="I574">
        <v>1</v>
      </c>
      <c r="J574" s="1">
        <v>2412.42</v>
      </c>
      <c r="K574">
        <v>0.02</v>
      </c>
      <c r="L574" s="1">
        <v>1867.03</v>
      </c>
      <c r="M574" s="1">
        <v>770.96</v>
      </c>
      <c r="N574" s="1">
        <v>51.08</v>
      </c>
      <c r="O574" t="s">
        <v>43</v>
      </c>
      <c r="P574">
        <v>1</v>
      </c>
      <c r="Q574" t="b">
        <v>0</v>
      </c>
      <c r="R574" t="s">
        <v>18</v>
      </c>
      <c r="S574">
        <v>10</v>
      </c>
      <c r="T574" t="e">
        <f>IF(#REF!&lt;=25, "Young Age", IF(#REF!&lt;=40, "Mid Age", "Old Age"))</f>
        <v>#REF!</v>
      </c>
      <c r="U574" t="str">
        <f t="shared" si="8"/>
        <v>Over Delayed</v>
      </c>
    </row>
    <row r="575" spans="1:21" x14ac:dyDescent="0.35">
      <c r="A575" t="s">
        <v>1306</v>
      </c>
      <c r="B575" s="13">
        <v>44974</v>
      </c>
      <c r="C575" t="s">
        <v>1307</v>
      </c>
      <c r="D575" t="s">
        <v>13</v>
      </c>
      <c r="E575" t="s">
        <v>14</v>
      </c>
      <c r="F575" t="s">
        <v>84</v>
      </c>
      <c r="G575" t="s">
        <v>124</v>
      </c>
      <c r="H575" t="s">
        <v>156</v>
      </c>
      <c r="I575">
        <v>6</v>
      </c>
      <c r="J575" s="1">
        <v>9703.74</v>
      </c>
      <c r="K575">
        <v>0.16</v>
      </c>
      <c r="L575" s="1">
        <v>52648.79</v>
      </c>
      <c r="M575" s="1">
        <v>8966.19</v>
      </c>
      <c r="N575" s="1">
        <v>50.19</v>
      </c>
      <c r="O575" t="s">
        <v>30</v>
      </c>
      <c r="P575">
        <v>1</v>
      </c>
      <c r="Q575" t="b">
        <v>0</v>
      </c>
      <c r="R575" t="s">
        <v>18</v>
      </c>
      <c r="S575">
        <v>7</v>
      </c>
      <c r="T575" t="e">
        <f>IF(#REF!&lt;=25, "Young Age", IF(#REF!&lt;=40, "Mid Age", "Old Age"))</f>
        <v>#REF!</v>
      </c>
      <c r="U575" t="str">
        <f t="shared" si="8"/>
        <v>Delayed</v>
      </c>
    </row>
    <row r="576" spans="1:21" x14ac:dyDescent="0.35">
      <c r="A576" t="s">
        <v>1308</v>
      </c>
      <c r="B576" s="13" t="s">
        <v>1309</v>
      </c>
      <c r="C576" t="s">
        <v>1310</v>
      </c>
      <c r="D576" t="s">
        <v>3</v>
      </c>
      <c r="E576" t="s">
        <v>4</v>
      </c>
      <c r="F576" t="s">
        <v>34</v>
      </c>
      <c r="G576" t="s">
        <v>16</v>
      </c>
      <c r="H576" t="s">
        <v>209</v>
      </c>
      <c r="I576">
        <v>3</v>
      </c>
      <c r="J576" s="1">
        <v>2213</v>
      </c>
      <c r="K576">
        <v>0.1</v>
      </c>
      <c r="L576" s="1">
        <v>9293.85</v>
      </c>
      <c r="M576" s="1">
        <v>4453.78</v>
      </c>
      <c r="N576" s="1">
        <v>86.73</v>
      </c>
      <c r="O576" t="s">
        <v>30</v>
      </c>
      <c r="P576">
        <v>4</v>
      </c>
      <c r="Q576" t="b">
        <v>0</v>
      </c>
      <c r="R576" t="s">
        <v>18</v>
      </c>
      <c r="S576">
        <v>10</v>
      </c>
      <c r="T576" t="e">
        <f>IF(#REF!&lt;=25, "Young Age", IF(#REF!&lt;=40, "Mid Age", "Old Age"))</f>
        <v>#REF!</v>
      </c>
      <c r="U576" t="str">
        <f t="shared" si="8"/>
        <v>Over Delayed</v>
      </c>
    </row>
    <row r="577" spans="1:21" x14ac:dyDescent="0.35">
      <c r="A577" t="s">
        <v>1311</v>
      </c>
      <c r="B577" s="13">
        <v>45391</v>
      </c>
      <c r="C577" t="s">
        <v>1312</v>
      </c>
      <c r="D577" t="s">
        <v>3</v>
      </c>
      <c r="E577" t="s">
        <v>53</v>
      </c>
      <c r="F577" t="s">
        <v>79</v>
      </c>
      <c r="G577" t="s">
        <v>124</v>
      </c>
      <c r="H577" t="s">
        <v>254</v>
      </c>
      <c r="I577">
        <v>1</v>
      </c>
      <c r="J577" s="1">
        <v>7923.79</v>
      </c>
      <c r="K577">
        <v>0.02</v>
      </c>
      <c r="L577" s="1">
        <v>12021.65</v>
      </c>
      <c r="M577" s="1">
        <v>3631.41</v>
      </c>
      <c r="N577" s="1">
        <v>54.15</v>
      </c>
      <c r="O577" t="s">
        <v>43</v>
      </c>
      <c r="P577">
        <v>3</v>
      </c>
      <c r="Q577" t="b">
        <v>0</v>
      </c>
      <c r="R577" t="s">
        <v>115</v>
      </c>
      <c r="S577" t="s">
        <v>2149</v>
      </c>
      <c r="T577" t="e">
        <f>IF(#REF!&lt;=25, "Young Age", IF(#REF!&lt;=40, "Mid Age", "Old Age"))</f>
        <v>#REF!</v>
      </c>
      <c r="U577" t="str">
        <f t="shared" si="8"/>
        <v>Over Delayed</v>
      </c>
    </row>
    <row r="578" spans="1:21" x14ac:dyDescent="0.35">
      <c r="A578" t="s">
        <v>1313</v>
      </c>
      <c r="B578" s="13">
        <v>45118</v>
      </c>
      <c r="C578" t="s">
        <v>1314</v>
      </c>
      <c r="D578" t="s">
        <v>3</v>
      </c>
      <c r="E578" t="s">
        <v>53</v>
      </c>
      <c r="F578" t="s">
        <v>54</v>
      </c>
      <c r="G578" t="s">
        <v>55</v>
      </c>
      <c r="H578" t="s">
        <v>110</v>
      </c>
      <c r="I578">
        <v>6</v>
      </c>
      <c r="J578" s="1">
        <v>1202.81</v>
      </c>
      <c r="K578">
        <v>0.08</v>
      </c>
      <c r="L578" s="1">
        <v>9663.61</v>
      </c>
      <c r="M578" s="1">
        <v>2700.5</v>
      </c>
      <c r="N578" s="1">
        <v>84.89</v>
      </c>
      <c r="O578" t="s">
        <v>36</v>
      </c>
      <c r="P578">
        <v>1</v>
      </c>
      <c r="Q578" t="b">
        <v>1</v>
      </c>
      <c r="R578" t="s">
        <v>9</v>
      </c>
      <c r="S578">
        <v>6</v>
      </c>
      <c r="T578" t="e">
        <f>IF(#REF!&lt;=25, "Young Age", IF(#REF!&lt;=40, "Mid Age", "Old Age"))</f>
        <v>#REF!</v>
      </c>
      <c r="U578" t="str">
        <f t="shared" ref="U578:U641" si="9">IF(S578 &lt;=4, "Okay", IF(S578 &lt;=7, "Delayed", "Over Delayed"))</f>
        <v>Delayed</v>
      </c>
    </row>
    <row r="579" spans="1:21" x14ac:dyDescent="0.35">
      <c r="A579" t="s">
        <v>1315</v>
      </c>
      <c r="B579" s="13">
        <v>45484</v>
      </c>
      <c r="C579" t="s">
        <v>1316</v>
      </c>
      <c r="D579" t="s">
        <v>3</v>
      </c>
      <c r="E579" t="s">
        <v>14</v>
      </c>
      <c r="F579" t="s">
        <v>15</v>
      </c>
      <c r="G579" t="s">
        <v>124</v>
      </c>
      <c r="H579" t="s">
        <v>139</v>
      </c>
      <c r="I579">
        <v>2</v>
      </c>
      <c r="J579" s="1">
        <v>13574.46</v>
      </c>
      <c r="K579">
        <v>0.31</v>
      </c>
      <c r="L579" s="1">
        <v>32632.91</v>
      </c>
      <c r="M579" s="1">
        <v>9812.2999999999993</v>
      </c>
      <c r="N579" s="1">
        <v>49.47</v>
      </c>
      <c r="O579" t="s">
        <v>36</v>
      </c>
      <c r="P579">
        <v>3</v>
      </c>
      <c r="Q579" t="b">
        <v>0</v>
      </c>
      <c r="R579" t="s">
        <v>18</v>
      </c>
      <c r="S579">
        <v>7</v>
      </c>
      <c r="T579" t="e">
        <f>IF(#REF!&lt;=25, "Young Age", IF(#REF!&lt;=40, "Mid Age", "Old Age"))</f>
        <v>#REF!</v>
      </c>
      <c r="U579" t="str">
        <f t="shared" si="9"/>
        <v>Delayed</v>
      </c>
    </row>
    <row r="580" spans="1:21" x14ac:dyDescent="0.35">
      <c r="A580" t="s">
        <v>1317</v>
      </c>
      <c r="B580" s="13">
        <v>44393</v>
      </c>
      <c r="C580" t="s">
        <v>1318</v>
      </c>
      <c r="D580" t="s">
        <v>13</v>
      </c>
      <c r="E580" t="s">
        <v>53</v>
      </c>
      <c r="F580" t="s">
        <v>170</v>
      </c>
      <c r="G580" t="s">
        <v>124</v>
      </c>
      <c r="H580" t="s">
        <v>195</v>
      </c>
      <c r="I580">
        <v>9</v>
      </c>
      <c r="J580" s="1">
        <v>10077.49</v>
      </c>
      <c r="K580">
        <v>0.34</v>
      </c>
      <c r="L580" s="1">
        <v>84123.31</v>
      </c>
      <c r="M580" s="1">
        <v>16599.27</v>
      </c>
      <c r="N580" s="1">
        <v>71.95</v>
      </c>
      <c r="O580" t="s">
        <v>43</v>
      </c>
      <c r="P580">
        <v>3</v>
      </c>
      <c r="Q580" t="b">
        <v>0</v>
      </c>
      <c r="R580" t="s">
        <v>18</v>
      </c>
      <c r="S580">
        <v>2</v>
      </c>
      <c r="T580" t="e">
        <f>IF(#REF!&lt;=25, "Young Age", IF(#REF!&lt;=40, "Mid Age", "Old Age"))</f>
        <v>#REF!</v>
      </c>
      <c r="U580" t="str">
        <f t="shared" si="9"/>
        <v>Okay</v>
      </c>
    </row>
    <row r="581" spans="1:21" x14ac:dyDescent="0.35">
      <c r="A581" t="s">
        <v>1319</v>
      </c>
      <c r="B581" s="13">
        <v>44050</v>
      </c>
      <c r="C581" t="s">
        <v>1320</v>
      </c>
      <c r="D581" t="s">
        <v>47</v>
      </c>
      <c r="E581" t="s">
        <v>4</v>
      </c>
      <c r="F581" t="s">
        <v>34</v>
      </c>
      <c r="G581" t="s">
        <v>6</v>
      </c>
      <c r="H581" t="s">
        <v>387</v>
      </c>
      <c r="I581">
        <v>4</v>
      </c>
      <c r="J581" s="1">
        <v>443.03</v>
      </c>
      <c r="K581">
        <v>0.32</v>
      </c>
      <c r="L581" s="1">
        <v>1593.89</v>
      </c>
      <c r="M581" s="1">
        <v>115.6</v>
      </c>
      <c r="N581" s="1">
        <v>71.819999999999993</v>
      </c>
      <c r="O581" t="s">
        <v>8</v>
      </c>
      <c r="P581">
        <v>4</v>
      </c>
      <c r="Q581" t="b">
        <v>0</v>
      </c>
      <c r="R581" t="s">
        <v>115</v>
      </c>
      <c r="S581">
        <v>2</v>
      </c>
      <c r="T581" t="e">
        <f>IF(#REF!&lt;=25, "Young Age", IF(#REF!&lt;=40, "Mid Age", "Old Age"))</f>
        <v>#REF!</v>
      </c>
      <c r="U581" t="str">
        <f t="shared" si="9"/>
        <v>Okay</v>
      </c>
    </row>
    <row r="582" spans="1:21" x14ac:dyDescent="0.35">
      <c r="A582" t="s">
        <v>1321</v>
      </c>
      <c r="B582" s="13">
        <v>45305</v>
      </c>
      <c r="C582" t="s">
        <v>1322</v>
      </c>
      <c r="D582" t="s">
        <v>13</v>
      </c>
      <c r="E582" t="s">
        <v>53</v>
      </c>
      <c r="F582" t="s">
        <v>170</v>
      </c>
      <c r="G582" t="s">
        <v>105</v>
      </c>
      <c r="H582" t="s">
        <v>282</v>
      </c>
      <c r="I582">
        <v>1</v>
      </c>
      <c r="J582" s="1">
        <v>16829.03</v>
      </c>
      <c r="K582">
        <v>0.04</v>
      </c>
      <c r="L582" s="1">
        <v>16558.810000000001</v>
      </c>
      <c r="M582" s="1">
        <v>2537.33</v>
      </c>
      <c r="N582" s="1">
        <v>43.96</v>
      </c>
      <c r="O582" t="s">
        <v>49</v>
      </c>
      <c r="P582">
        <v>1</v>
      </c>
      <c r="Q582" t="b">
        <v>1</v>
      </c>
      <c r="R582" t="s">
        <v>9</v>
      </c>
      <c r="S582">
        <v>9</v>
      </c>
      <c r="T582" t="e">
        <f>IF(#REF!&lt;=25, "Young Age", IF(#REF!&lt;=40, "Mid Age", "Old Age"))</f>
        <v>#REF!</v>
      </c>
      <c r="U582" t="str">
        <f t="shared" si="9"/>
        <v>Over Delayed</v>
      </c>
    </row>
    <row r="583" spans="1:21" x14ac:dyDescent="0.35">
      <c r="A583" t="s">
        <v>1323</v>
      </c>
      <c r="B583" s="13">
        <v>45405</v>
      </c>
      <c r="C583" t="s">
        <v>1324</v>
      </c>
      <c r="D583" t="s">
        <v>47</v>
      </c>
      <c r="E583" t="s">
        <v>61</v>
      </c>
      <c r="F583" t="s">
        <v>271</v>
      </c>
      <c r="G583" t="s">
        <v>55</v>
      </c>
      <c r="H583" t="s">
        <v>67</v>
      </c>
      <c r="I583">
        <v>10</v>
      </c>
      <c r="J583" s="1">
        <v>3066.81</v>
      </c>
      <c r="K583">
        <v>0.02</v>
      </c>
      <c r="L583" s="1">
        <v>47758.51</v>
      </c>
      <c r="M583" s="1">
        <v>19208.34</v>
      </c>
      <c r="N583" s="1">
        <v>77.64</v>
      </c>
      <c r="O583" t="s">
        <v>36</v>
      </c>
      <c r="P583">
        <v>2</v>
      </c>
      <c r="Q583" t="b">
        <v>0</v>
      </c>
      <c r="R583" t="s">
        <v>18</v>
      </c>
      <c r="S583">
        <v>9</v>
      </c>
      <c r="T583" t="e">
        <f>IF(#REF!&lt;=25, "Young Age", IF(#REF!&lt;=40, "Mid Age", "Old Age"))</f>
        <v>#REF!</v>
      </c>
      <c r="U583" t="str">
        <f t="shared" si="9"/>
        <v>Over Delayed</v>
      </c>
    </row>
    <row r="584" spans="1:21" x14ac:dyDescent="0.35">
      <c r="A584" t="s">
        <v>1325</v>
      </c>
      <c r="B584" s="13" t="s">
        <v>1326</v>
      </c>
      <c r="C584" t="s">
        <v>1327</v>
      </c>
      <c r="D584" t="s">
        <v>13</v>
      </c>
      <c r="E584" t="s">
        <v>14</v>
      </c>
      <c r="F584" t="s">
        <v>28</v>
      </c>
      <c r="G584" t="s">
        <v>55</v>
      </c>
      <c r="H584" t="s">
        <v>100</v>
      </c>
      <c r="I584">
        <v>8</v>
      </c>
      <c r="J584" s="1">
        <v>1829.04</v>
      </c>
      <c r="K584">
        <v>0.24</v>
      </c>
      <c r="L584" s="1">
        <v>14780.74</v>
      </c>
      <c r="M584" s="1">
        <v>6166.69</v>
      </c>
      <c r="N584" s="1">
        <v>80.06</v>
      </c>
      <c r="O584" t="s">
        <v>36</v>
      </c>
      <c r="P584">
        <v>3</v>
      </c>
      <c r="Q584" t="b">
        <v>0</v>
      </c>
      <c r="R584" t="s">
        <v>63</v>
      </c>
      <c r="S584">
        <v>4</v>
      </c>
      <c r="T584" t="e">
        <f>IF(#REF!&lt;=25, "Young Age", IF(#REF!&lt;=40, "Mid Age", "Old Age"))</f>
        <v>#REF!</v>
      </c>
      <c r="U584" t="str">
        <f t="shared" si="9"/>
        <v>Okay</v>
      </c>
    </row>
    <row r="585" spans="1:21" x14ac:dyDescent="0.35">
      <c r="A585" t="s">
        <v>1328</v>
      </c>
      <c r="B585" s="13">
        <v>45074</v>
      </c>
      <c r="C585" t="s">
        <v>1329</v>
      </c>
      <c r="D585" t="s">
        <v>47</v>
      </c>
      <c r="E585" t="s">
        <v>53</v>
      </c>
      <c r="F585" t="s">
        <v>170</v>
      </c>
      <c r="G585" t="s">
        <v>23</v>
      </c>
      <c r="H585" t="s">
        <v>29</v>
      </c>
      <c r="I585">
        <v>8</v>
      </c>
      <c r="J585" s="1">
        <v>30782.92</v>
      </c>
      <c r="K585">
        <v>0.11</v>
      </c>
      <c r="L585" s="1">
        <v>356477.73</v>
      </c>
      <c r="M585" s="1">
        <v>116445.94</v>
      </c>
      <c r="N585" s="1">
        <v>61.27</v>
      </c>
      <c r="O585" t="s">
        <v>30</v>
      </c>
      <c r="P585" t="s">
        <v>2149</v>
      </c>
      <c r="Q585" t="b">
        <v>0</v>
      </c>
      <c r="R585" t="s">
        <v>18</v>
      </c>
      <c r="S585">
        <v>2</v>
      </c>
      <c r="T585" t="e">
        <f>IF(#REF!&lt;=25, "Young Age", IF(#REF!&lt;=40, "Mid Age", "Old Age"))</f>
        <v>#REF!</v>
      </c>
      <c r="U585" t="str">
        <f t="shared" si="9"/>
        <v>Okay</v>
      </c>
    </row>
    <row r="586" spans="1:21" x14ac:dyDescent="0.35">
      <c r="A586" t="s">
        <v>1330</v>
      </c>
      <c r="B586" s="13">
        <v>44713</v>
      </c>
      <c r="C586" t="s">
        <v>1331</v>
      </c>
      <c r="D586" t="s">
        <v>3</v>
      </c>
      <c r="E586" t="s">
        <v>14</v>
      </c>
      <c r="F586" t="s">
        <v>15</v>
      </c>
      <c r="G586" t="s">
        <v>16</v>
      </c>
      <c r="H586" t="s">
        <v>17</v>
      </c>
      <c r="I586">
        <v>7</v>
      </c>
      <c r="J586" s="1">
        <v>1167.8599999999999</v>
      </c>
      <c r="K586">
        <v>0.15</v>
      </c>
      <c r="L586" s="1">
        <v>10729.59</v>
      </c>
      <c r="M586" s="1">
        <v>5022.26</v>
      </c>
      <c r="N586" s="1">
        <v>56.89</v>
      </c>
      <c r="O586" t="s">
        <v>8</v>
      </c>
      <c r="P586">
        <v>2</v>
      </c>
      <c r="Q586" t="b">
        <v>0</v>
      </c>
      <c r="R586" t="s">
        <v>18</v>
      </c>
      <c r="S586">
        <v>8</v>
      </c>
      <c r="T586" t="e">
        <f>IF(#REF!&lt;=25, "Young Age", IF(#REF!&lt;=40, "Mid Age", "Old Age"))</f>
        <v>#REF!</v>
      </c>
      <c r="U586" t="str">
        <f t="shared" si="9"/>
        <v>Over Delayed</v>
      </c>
    </row>
    <row r="587" spans="1:21" x14ac:dyDescent="0.35">
      <c r="A587" t="s">
        <v>1332</v>
      </c>
      <c r="B587" s="13">
        <v>45057</v>
      </c>
      <c r="C587" t="s">
        <v>1333</v>
      </c>
      <c r="D587" t="s">
        <v>3</v>
      </c>
      <c r="E587" t="s">
        <v>53</v>
      </c>
      <c r="F587" t="s">
        <v>170</v>
      </c>
      <c r="G587" t="s">
        <v>105</v>
      </c>
      <c r="H587" t="s">
        <v>438</v>
      </c>
      <c r="I587">
        <v>9</v>
      </c>
      <c r="J587" s="1">
        <v>6647.49</v>
      </c>
      <c r="K587">
        <v>0.34</v>
      </c>
      <c r="L587" s="1">
        <v>68948.2</v>
      </c>
      <c r="M587" s="1">
        <v>8595.8799999999992</v>
      </c>
      <c r="N587" s="1">
        <v>51.47</v>
      </c>
      <c r="O587" t="s">
        <v>43</v>
      </c>
      <c r="P587">
        <v>4</v>
      </c>
      <c r="Q587" t="b">
        <v>0</v>
      </c>
      <c r="R587" t="s">
        <v>18</v>
      </c>
      <c r="S587">
        <v>8</v>
      </c>
      <c r="T587" t="e">
        <f>IF(#REF!&lt;=25, "Young Age", IF(#REF!&lt;=40, "Mid Age", "Old Age"))</f>
        <v>#REF!</v>
      </c>
      <c r="U587" t="str">
        <f t="shared" si="9"/>
        <v>Over Delayed</v>
      </c>
    </row>
    <row r="588" spans="1:21" x14ac:dyDescent="0.35">
      <c r="A588" t="s">
        <v>1334</v>
      </c>
      <c r="B588" s="13">
        <v>43850</v>
      </c>
      <c r="C588" t="s">
        <v>1335</v>
      </c>
      <c r="D588" t="s">
        <v>13</v>
      </c>
      <c r="E588" t="s">
        <v>89</v>
      </c>
      <c r="F588" t="s">
        <v>299</v>
      </c>
      <c r="G588" t="s">
        <v>16</v>
      </c>
      <c r="H588" t="s">
        <v>390</v>
      </c>
      <c r="I588">
        <v>6</v>
      </c>
      <c r="J588" s="1">
        <v>1952.59</v>
      </c>
      <c r="K588">
        <v>0.14000000000000001</v>
      </c>
      <c r="L588" s="1">
        <v>6658.21</v>
      </c>
      <c r="M588" s="1">
        <v>3867.94</v>
      </c>
      <c r="N588" s="1">
        <v>38.17</v>
      </c>
      <c r="O588" t="s">
        <v>49</v>
      </c>
      <c r="P588">
        <v>1</v>
      </c>
      <c r="Q588" t="b">
        <v>0</v>
      </c>
      <c r="R588" t="s">
        <v>115</v>
      </c>
      <c r="S588">
        <v>8</v>
      </c>
      <c r="T588" t="e">
        <f>IF(#REF!&lt;=25, "Young Age", IF(#REF!&lt;=40, "Mid Age", "Old Age"))</f>
        <v>#REF!</v>
      </c>
      <c r="U588" t="str">
        <f t="shared" si="9"/>
        <v>Over Delayed</v>
      </c>
    </row>
    <row r="589" spans="1:21" x14ac:dyDescent="0.35">
      <c r="A589" t="s">
        <v>1336</v>
      </c>
      <c r="B589" s="13">
        <v>44686</v>
      </c>
      <c r="C589" t="s">
        <v>1337</v>
      </c>
      <c r="D589" t="s">
        <v>13</v>
      </c>
      <c r="E589" t="s">
        <v>14</v>
      </c>
      <c r="F589" t="s">
        <v>84</v>
      </c>
      <c r="G589" t="s">
        <v>16</v>
      </c>
      <c r="H589" t="s">
        <v>557</v>
      </c>
      <c r="I589">
        <v>3</v>
      </c>
      <c r="J589" s="1">
        <v>1685.48</v>
      </c>
      <c r="K589">
        <v>0.05</v>
      </c>
      <c r="L589" s="1">
        <v>6564.17</v>
      </c>
      <c r="M589" s="1">
        <v>3034.89</v>
      </c>
      <c r="N589" s="1">
        <v>79.19</v>
      </c>
      <c r="O589" t="s">
        <v>8</v>
      </c>
      <c r="P589">
        <v>1</v>
      </c>
      <c r="Q589" t="b">
        <v>0</v>
      </c>
      <c r="R589" t="s">
        <v>63</v>
      </c>
      <c r="S589">
        <v>1</v>
      </c>
      <c r="T589" t="e">
        <f>IF(#REF!&lt;=25, "Young Age", IF(#REF!&lt;=40, "Mid Age", "Old Age"))</f>
        <v>#REF!</v>
      </c>
      <c r="U589" t="str">
        <f t="shared" si="9"/>
        <v>Okay</v>
      </c>
    </row>
    <row r="590" spans="1:21" x14ac:dyDescent="0.35">
      <c r="A590" t="s">
        <v>1338</v>
      </c>
      <c r="B590" s="13">
        <v>44650</v>
      </c>
      <c r="C590" t="s">
        <v>1339</v>
      </c>
      <c r="D590" t="s">
        <v>13</v>
      </c>
      <c r="E590" t="s">
        <v>14</v>
      </c>
      <c r="F590" t="s">
        <v>22</v>
      </c>
      <c r="G590" t="s">
        <v>105</v>
      </c>
      <c r="H590" t="s">
        <v>106</v>
      </c>
      <c r="I590">
        <v>1</v>
      </c>
      <c r="J590" s="1">
        <v>28957.64</v>
      </c>
      <c r="K590">
        <v>0.33</v>
      </c>
      <c r="L590" s="1">
        <v>18619.849999999999</v>
      </c>
      <c r="M590" s="1">
        <v>1514.95</v>
      </c>
      <c r="N590" s="1">
        <v>63.73</v>
      </c>
      <c r="O590" t="s">
        <v>8</v>
      </c>
      <c r="P590">
        <v>5</v>
      </c>
      <c r="Q590" t="b">
        <v>0</v>
      </c>
      <c r="R590" t="s">
        <v>18</v>
      </c>
      <c r="S590">
        <v>10</v>
      </c>
      <c r="T590" t="e">
        <f>IF(#REF!&lt;=25, "Young Age", IF(#REF!&lt;=40, "Mid Age", "Old Age"))</f>
        <v>#REF!</v>
      </c>
      <c r="U590" t="str">
        <f t="shared" si="9"/>
        <v>Over Delayed</v>
      </c>
    </row>
    <row r="591" spans="1:21" x14ac:dyDescent="0.35">
      <c r="A591" t="s">
        <v>1340</v>
      </c>
      <c r="B591" s="13">
        <v>45542</v>
      </c>
      <c r="C591" t="s">
        <v>1341</v>
      </c>
      <c r="D591" t="s">
        <v>3</v>
      </c>
      <c r="E591" t="s">
        <v>61</v>
      </c>
      <c r="F591" t="s">
        <v>271</v>
      </c>
      <c r="G591" t="s">
        <v>16</v>
      </c>
      <c r="H591" t="s">
        <v>390</v>
      </c>
      <c r="I591">
        <v>3</v>
      </c>
      <c r="J591" s="1">
        <v>1229.8800000000001</v>
      </c>
      <c r="K591">
        <v>0.16</v>
      </c>
      <c r="L591" s="1">
        <v>4385.2700000000004</v>
      </c>
      <c r="M591" s="1">
        <v>2310.7399999999998</v>
      </c>
      <c r="N591" s="1">
        <v>75.88</v>
      </c>
      <c r="O591" t="s">
        <v>49</v>
      </c>
      <c r="P591">
        <v>5</v>
      </c>
      <c r="Q591" t="b">
        <v>0</v>
      </c>
      <c r="R591" t="s">
        <v>37</v>
      </c>
      <c r="S591">
        <v>4</v>
      </c>
      <c r="T591" t="e">
        <f>IF(#REF!&lt;=25, "Young Age", IF(#REF!&lt;=40, "Mid Age", "Old Age"))</f>
        <v>#REF!</v>
      </c>
      <c r="U591" t="str">
        <f t="shared" si="9"/>
        <v>Okay</v>
      </c>
    </row>
    <row r="592" spans="1:21" x14ac:dyDescent="0.35">
      <c r="A592" t="s">
        <v>1342</v>
      </c>
      <c r="B592" s="13">
        <v>45090</v>
      </c>
      <c r="C592" t="s">
        <v>1343</v>
      </c>
      <c r="D592" t="s">
        <v>13</v>
      </c>
      <c r="E592" t="s">
        <v>89</v>
      </c>
      <c r="F592" t="s">
        <v>299</v>
      </c>
      <c r="G592" t="s">
        <v>55</v>
      </c>
      <c r="H592" t="s">
        <v>56</v>
      </c>
      <c r="I592">
        <v>2</v>
      </c>
      <c r="J592" s="1">
        <v>1474.66</v>
      </c>
      <c r="K592">
        <v>0.16</v>
      </c>
      <c r="L592" s="1">
        <v>3493.62</v>
      </c>
      <c r="M592" s="1">
        <v>1237.1500000000001</v>
      </c>
      <c r="N592" s="1">
        <v>83</v>
      </c>
      <c r="O592" t="s">
        <v>43</v>
      </c>
      <c r="P592">
        <v>2</v>
      </c>
      <c r="Q592" t="b">
        <v>0</v>
      </c>
      <c r="R592" t="s">
        <v>18</v>
      </c>
      <c r="S592">
        <v>9</v>
      </c>
      <c r="T592" t="e">
        <f>IF(#REF!&lt;=25, "Young Age", IF(#REF!&lt;=40, "Mid Age", "Old Age"))</f>
        <v>#REF!</v>
      </c>
      <c r="U592" t="str">
        <f t="shared" si="9"/>
        <v>Over Delayed</v>
      </c>
    </row>
    <row r="593" spans="1:21" x14ac:dyDescent="0.35">
      <c r="A593" t="s">
        <v>1344</v>
      </c>
      <c r="B593" s="13">
        <v>45168</v>
      </c>
      <c r="C593" t="s">
        <v>1345</v>
      </c>
      <c r="D593" t="s">
        <v>47</v>
      </c>
      <c r="E593" t="s">
        <v>61</v>
      </c>
      <c r="F593" t="s">
        <v>62</v>
      </c>
      <c r="G593" t="s">
        <v>6</v>
      </c>
      <c r="H593" t="s">
        <v>75</v>
      </c>
      <c r="I593">
        <v>9</v>
      </c>
      <c r="J593" s="1">
        <v>132.91</v>
      </c>
      <c r="K593">
        <v>0.37</v>
      </c>
      <c r="L593" s="1">
        <v>1379.32</v>
      </c>
      <c r="M593" s="1">
        <v>95.16</v>
      </c>
      <c r="N593" s="1">
        <v>84.31</v>
      </c>
      <c r="O593" t="s">
        <v>43</v>
      </c>
      <c r="P593">
        <v>1</v>
      </c>
      <c r="Q593" t="b">
        <v>0</v>
      </c>
      <c r="R593" t="s">
        <v>18</v>
      </c>
      <c r="S593">
        <v>4</v>
      </c>
      <c r="T593" t="e">
        <f>IF(#REF!&lt;=25, "Young Age", IF(#REF!&lt;=40, "Mid Age", "Old Age"))</f>
        <v>#REF!</v>
      </c>
      <c r="U593" t="str">
        <f t="shared" si="9"/>
        <v>Okay</v>
      </c>
    </row>
    <row r="594" spans="1:21" x14ac:dyDescent="0.35">
      <c r="A594" t="s">
        <v>1346</v>
      </c>
      <c r="B594" s="13">
        <v>44785</v>
      </c>
      <c r="C594" t="s">
        <v>1347</v>
      </c>
      <c r="D594" t="s">
        <v>13</v>
      </c>
      <c r="E594" t="s">
        <v>89</v>
      </c>
      <c r="F594" t="s">
        <v>90</v>
      </c>
      <c r="G594" t="s">
        <v>16</v>
      </c>
      <c r="H594" t="s">
        <v>557</v>
      </c>
      <c r="I594">
        <v>2</v>
      </c>
      <c r="J594" s="1">
        <v>2364.83</v>
      </c>
      <c r="K594">
        <v>7.0000000000000007E-2</v>
      </c>
      <c r="L594" s="1">
        <v>5331.18</v>
      </c>
      <c r="M594" s="1">
        <v>2254.41</v>
      </c>
      <c r="N594" s="1">
        <v>60.96</v>
      </c>
      <c r="O594" t="s">
        <v>30</v>
      </c>
      <c r="P594">
        <v>1</v>
      </c>
      <c r="Q594" t="b">
        <v>0</v>
      </c>
      <c r="R594" t="s">
        <v>18</v>
      </c>
      <c r="S594">
        <v>4</v>
      </c>
      <c r="T594" t="e">
        <f>IF(#REF!&lt;=25, "Young Age", IF(#REF!&lt;=40, "Mid Age", "Old Age"))</f>
        <v>#REF!</v>
      </c>
      <c r="U594" t="str">
        <f t="shared" si="9"/>
        <v>Okay</v>
      </c>
    </row>
    <row r="595" spans="1:21" x14ac:dyDescent="0.35">
      <c r="A595" t="s">
        <v>1348</v>
      </c>
      <c r="B595" s="13">
        <v>45142</v>
      </c>
      <c r="C595" t="s">
        <v>1349</v>
      </c>
      <c r="D595" t="s">
        <v>47</v>
      </c>
      <c r="E595" t="s">
        <v>14</v>
      </c>
      <c r="F595" t="s">
        <v>84</v>
      </c>
      <c r="G595" t="s">
        <v>124</v>
      </c>
      <c r="H595" t="s">
        <v>413</v>
      </c>
      <c r="I595">
        <v>10</v>
      </c>
      <c r="J595" s="1">
        <v>10231.86</v>
      </c>
      <c r="K595">
        <v>0.33</v>
      </c>
      <c r="L595" s="1">
        <v>98825.46</v>
      </c>
      <c r="M595" s="1">
        <v>17642.86</v>
      </c>
      <c r="N595" s="1">
        <v>40.200000000000003</v>
      </c>
      <c r="O595" t="s">
        <v>49</v>
      </c>
      <c r="P595">
        <v>2</v>
      </c>
      <c r="Q595" t="b">
        <v>0</v>
      </c>
      <c r="R595" t="s">
        <v>18</v>
      </c>
      <c r="S595">
        <v>9</v>
      </c>
      <c r="T595" t="e">
        <f>IF(#REF!&lt;=25, "Young Age", IF(#REF!&lt;=40, "Mid Age", "Old Age"))</f>
        <v>#REF!</v>
      </c>
      <c r="U595" t="str">
        <f t="shared" si="9"/>
        <v>Over Delayed</v>
      </c>
    </row>
    <row r="596" spans="1:21" x14ac:dyDescent="0.35">
      <c r="A596" t="s">
        <v>1350</v>
      </c>
      <c r="B596" s="13">
        <v>45396</v>
      </c>
      <c r="C596" t="s">
        <v>1351</v>
      </c>
      <c r="D596" t="s">
        <v>47</v>
      </c>
      <c r="E596" t="s">
        <v>61</v>
      </c>
      <c r="F596" t="s">
        <v>62</v>
      </c>
      <c r="G596" t="s">
        <v>41</v>
      </c>
      <c r="H596" t="s">
        <v>477</v>
      </c>
      <c r="I596">
        <v>1</v>
      </c>
      <c r="J596" s="1">
        <v>675.6</v>
      </c>
      <c r="K596">
        <v>0.09</v>
      </c>
      <c r="L596" s="1">
        <v>960.99</v>
      </c>
      <c r="M596" s="1">
        <v>301.26</v>
      </c>
      <c r="N596" s="1">
        <v>94.17</v>
      </c>
      <c r="O596" t="s">
        <v>36</v>
      </c>
      <c r="P596">
        <v>5</v>
      </c>
      <c r="Q596" t="b">
        <v>0</v>
      </c>
      <c r="R596" t="s">
        <v>115</v>
      </c>
      <c r="S596">
        <v>5</v>
      </c>
      <c r="T596" t="e">
        <f>IF(#REF!&lt;=25, "Young Age", IF(#REF!&lt;=40, "Mid Age", "Old Age"))</f>
        <v>#REF!</v>
      </c>
      <c r="U596" t="str">
        <f t="shared" si="9"/>
        <v>Delayed</v>
      </c>
    </row>
    <row r="597" spans="1:21" x14ac:dyDescent="0.35">
      <c r="A597" t="s">
        <v>1352</v>
      </c>
      <c r="B597" s="13">
        <v>45113</v>
      </c>
      <c r="C597" t="s">
        <v>1353</v>
      </c>
      <c r="D597" t="s">
        <v>47</v>
      </c>
      <c r="E597" t="s">
        <v>4</v>
      </c>
      <c r="F597" t="s">
        <v>34</v>
      </c>
      <c r="G597" t="s">
        <v>105</v>
      </c>
      <c r="H597" t="s">
        <v>120</v>
      </c>
      <c r="I597">
        <v>3</v>
      </c>
      <c r="J597" s="1">
        <v>69702.559999999998</v>
      </c>
      <c r="K597">
        <v>0.36</v>
      </c>
      <c r="L597" s="1">
        <v>204235.41</v>
      </c>
      <c r="M597" s="1">
        <v>30667.19</v>
      </c>
      <c r="N597" s="1">
        <v>72.010000000000005</v>
      </c>
      <c r="O597" t="s">
        <v>30</v>
      </c>
      <c r="P597">
        <v>5</v>
      </c>
      <c r="Q597" t="b">
        <v>0</v>
      </c>
      <c r="R597" t="s">
        <v>18</v>
      </c>
      <c r="S597">
        <v>2</v>
      </c>
      <c r="T597" t="e">
        <f>IF(#REF!&lt;=25, "Young Age", IF(#REF!&lt;=40, "Mid Age", "Old Age"))</f>
        <v>#REF!</v>
      </c>
      <c r="U597" t="str">
        <f t="shared" si="9"/>
        <v>Okay</v>
      </c>
    </row>
    <row r="598" spans="1:21" x14ac:dyDescent="0.35">
      <c r="A598" t="s">
        <v>1354</v>
      </c>
      <c r="B598" s="13">
        <v>45280</v>
      </c>
      <c r="C598" t="s">
        <v>1355</v>
      </c>
      <c r="D598" t="s">
        <v>3</v>
      </c>
      <c r="E598" t="s">
        <v>61</v>
      </c>
      <c r="F598" t="s">
        <v>271</v>
      </c>
      <c r="G598" t="s">
        <v>16</v>
      </c>
      <c r="H598" t="s">
        <v>209</v>
      </c>
      <c r="I598">
        <v>4</v>
      </c>
      <c r="J598" s="1">
        <v>1670.09</v>
      </c>
      <c r="K598">
        <v>0.39</v>
      </c>
      <c r="L598" s="1">
        <v>3402.85</v>
      </c>
      <c r="M598" s="1">
        <v>1861.74</v>
      </c>
      <c r="N598" s="1">
        <v>94.95</v>
      </c>
      <c r="O598" t="s">
        <v>57</v>
      </c>
      <c r="P598">
        <v>1</v>
      </c>
      <c r="Q598" t="b">
        <v>1</v>
      </c>
      <c r="R598" t="s">
        <v>9</v>
      </c>
      <c r="S598">
        <v>6</v>
      </c>
      <c r="T598" t="e">
        <f>IF(#REF!&lt;=25, "Young Age", IF(#REF!&lt;=40, "Mid Age", "Old Age"))</f>
        <v>#REF!</v>
      </c>
      <c r="U598" t="str">
        <f t="shared" si="9"/>
        <v>Delayed</v>
      </c>
    </row>
    <row r="599" spans="1:21" x14ac:dyDescent="0.35">
      <c r="A599" t="s">
        <v>1356</v>
      </c>
      <c r="B599" s="13">
        <v>45524</v>
      </c>
      <c r="C599" t="s">
        <v>1357</v>
      </c>
      <c r="D599" t="s">
        <v>47</v>
      </c>
      <c r="E599" t="s">
        <v>14</v>
      </c>
      <c r="F599" t="s">
        <v>28</v>
      </c>
      <c r="G599" t="s">
        <v>23</v>
      </c>
      <c r="H599" t="s">
        <v>29</v>
      </c>
      <c r="I599">
        <v>7</v>
      </c>
      <c r="J599" s="1">
        <v>14200.86</v>
      </c>
      <c r="K599">
        <v>0.14000000000000001</v>
      </c>
      <c r="L599" s="1">
        <v>123743.08</v>
      </c>
      <c r="M599" s="1">
        <v>37065.68</v>
      </c>
      <c r="N599" s="1">
        <v>54.52</v>
      </c>
      <c r="O599" t="s">
        <v>8</v>
      </c>
      <c r="P599">
        <v>2</v>
      </c>
      <c r="Q599" t="b">
        <v>0</v>
      </c>
      <c r="R599" t="s">
        <v>18</v>
      </c>
      <c r="S599">
        <v>10</v>
      </c>
      <c r="T599" t="e">
        <f>IF(#REF!&lt;=25, "Young Age", IF(#REF!&lt;=40, "Mid Age", "Old Age"))</f>
        <v>#REF!</v>
      </c>
      <c r="U599" t="str">
        <f t="shared" si="9"/>
        <v>Over Delayed</v>
      </c>
    </row>
    <row r="600" spans="1:21" x14ac:dyDescent="0.35">
      <c r="A600" t="s">
        <v>1358</v>
      </c>
      <c r="B600" s="13">
        <v>44469</v>
      </c>
      <c r="C600" t="s">
        <v>1359</v>
      </c>
      <c r="D600" t="s">
        <v>13</v>
      </c>
      <c r="E600" t="s">
        <v>61</v>
      </c>
      <c r="F600" t="s">
        <v>62</v>
      </c>
      <c r="G600" t="s">
        <v>41</v>
      </c>
      <c r="H600" t="s">
        <v>129</v>
      </c>
      <c r="I600">
        <v>3</v>
      </c>
      <c r="J600" s="1">
        <v>751.24</v>
      </c>
      <c r="K600">
        <v>0.34</v>
      </c>
      <c r="L600" s="1">
        <v>1754.21</v>
      </c>
      <c r="M600" s="1">
        <v>458.13</v>
      </c>
      <c r="N600" s="1">
        <v>103.5</v>
      </c>
      <c r="O600" t="s">
        <v>8</v>
      </c>
      <c r="P600">
        <v>3</v>
      </c>
      <c r="Q600" t="b">
        <v>0</v>
      </c>
      <c r="R600" t="s">
        <v>18</v>
      </c>
      <c r="S600">
        <v>10</v>
      </c>
      <c r="T600" t="e">
        <f>IF(#REF!&lt;=25, "Young Age", IF(#REF!&lt;=40, "Mid Age", "Old Age"))</f>
        <v>#REF!</v>
      </c>
      <c r="U600" t="str">
        <f t="shared" si="9"/>
        <v>Over Delayed</v>
      </c>
    </row>
    <row r="601" spans="1:21" x14ac:dyDescent="0.35">
      <c r="A601" t="s">
        <v>1360</v>
      </c>
      <c r="B601" s="13">
        <v>45156</v>
      </c>
      <c r="C601" t="s">
        <v>1361</v>
      </c>
      <c r="D601" t="s">
        <v>47</v>
      </c>
      <c r="E601" t="s">
        <v>89</v>
      </c>
      <c r="F601" t="s">
        <v>299</v>
      </c>
      <c r="G601" t="s">
        <v>23</v>
      </c>
      <c r="H601" t="s">
        <v>71</v>
      </c>
      <c r="I601">
        <v>7</v>
      </c>
      <c r="J601" s="1">
        <v>34829.83</v>
      </c>
      <c r="K601">
        <v>0.27</v>
      </c>
      <c r="L601" s="1">
        <v>251225.51</v>
      </c>
      <c r="M601" s="1">
        <v>87253.16</v>
      </c>
      <c r="N601" s="1">
        <v>74.92</v>
      </c>
      <c r="O601" t="s">
        <v>30</v>
      </c>
      <c r="P601">
        <v>1</v>
      </c>
      <c r="Q601" t="b">
        <v>0</v>
      </c>
      <c r="R601" t="s">
        <v>18</v>
      </c>
      <c r="S601">
        <v>9</v>
      </c>
      <c r="T601" t="e">
        <f>IF(#REF!&lt;=25, "Young Age", IF(#REF!&lt;=40, "Mid Age", "Old Age"))</f>
        <v>#REF!</v>
      </c>
      <c r="U601" t="str">
        <f t="shared" si="9"/>
        <v>Over Delayed</v>
      </c>
    </row>
    <row r="602" spans="1:21" x14ac:dyDescent="0.35">
      <c r="A602" t="s">
        <v>1362</v>
      </c>
      <c r="B602" s="13">
        <v>44021</v>
      </c>
      <c r="C602" t="s">
        <v>1363</v>
      </c>
      <c r="D602" t="s">
        <v>3</v>
      </c>
      <c r="E602" t="s">
        <v>89</v>
      </c>
      <c r="F602" t="s">
        <v>119</v>
      </c>
      <c r="G602" t="s">
        <v>55</v>
      </c>
      <c r="H602" t="s">
        <v>91</v>
      </c>
      <c r="I602">
        <v>2</v>
      </c>
      <c r="J602" s="1">
        <v>2956.54</v>
      </c>
      <c r="K602">
        <v>0.38</v>
      </c>
      <c r="L602" s="1">
        <v>4033.47</v>
      </c>
      <c r="M602" s="1">
        <v>1730.04</v>
      </c>
      <c r="N602" s="1">
        <v>80.22</v>
      </c>
      <c r="O602" t="s">
        <v>8</v>
      </c>
      <c r="P602">
        <v>4</v>
      </c>
      <c r="Q602" t="b">
        <v>0</v>
      </c>
      <c r="R602" t="s">
        <v>18</v>
      </c>
      <c r="S602">
        <v>3</v>
      </c>
      <c r="T602" t="e">
        <f>IF(#REF!&lt;=25, "Young Age", IF(#REF!&lt;=40, "Mid Age", "Old Age"))</f>
        <v>#REF!</v>
      </c>
      <c r="U602" t="str">
        <f t="shared" si="9"/>
        <v>Okay</v>
      </c>
    </row>
    <row r="603" spans="1:21" x14ac:dyDescent="0.35">
      <c r="A603" t="s">
        <v>1364</v>
      </c>
      <c r="B603" s="13">
        <v>45158</v>
      </c>
      <c r="C603" t="s">
        <v>1365</v>
      </c>
      <c r="D603" t="s">
        <v>13</v>
      </c>
      <c r="E603" t="s">
        <v>4</v>
      </c>
      <c r="F603" t="s">
        <v>48</v>
      </c>
      <c r="G603" t="s">
        <v>124</v>
      </c>
      <c r="H603" t="s">
        <v>195</v>
      </c>
      <c r="I603">
        <v>4</v>
      </c>
      <c r="J603" s="1">
        <v>5660.42</v>
      </c>
      <c r="K603">
        <v>0.24</v>
      </c>
      <c r="L603" s="1">
        <v>22682.85</v>
      </c>
      <c r="M603" s="1">
        <v>4781.05</v>
      </c>
      <c r="N603" s="1">
        <v>52.61</v>
      </c>
      <c r="O603" t="s">
        <v>57</v>
      </c>
      <c r="P603">
        <v>5</v>
      </c>
      <c r="Q603" t="b">
        <v>0</v>
      </c>
      <c r="R603" t="s">
        <v>115</v>
      </c>
      <c r="S603">
        <v>6</v>
      </c>
      <c r="T603" t="e">
        <f>IF(#REF!&lt;=25, "Young Age", IF(#REF!&lt;=40, "Mid Age", "Old Age"))</f>
        <v>#REF!</v>
      </c>
      <c r="U603" t="str">
        <f t="shared" si="9"/>
        <v>Delayed</v>
      </c>
    </row>
    <row r="604" spans="1:21" x14ac:dyDescent="0.35">
      <c r="A604" t="s">
        <v>1366</v>
      </c>
      <c r="B604" s="13">
        <v>43853</v>
      </c>
      <c r="C604" t="s">
        <v>1367</v>
      </c>
      <c r="D604" t="s">
        <v>47</v>
      </c>
      <c r="E604" t="s">
        <v>53</v>
      </c>
      <c r="F604" t="s">
        <v>79</v>
      </c>
      <c r="G604" t="s">
        <v>55</v>
      </c>
      <c r="H604" t="s">
        <v>67</v>
      </c>
      <c r="I604">
        <v>1</v>
      </c>
      <c r="J604" s="1">
        <v>3054</v>
      </c>
      <c r="K604">
        <v>0.03</v>
      </c>
      <c r="L604" s="1">
        <v>2217.29</v>
      </c>
      <c r="M604" s="1">
        <v>558.25</v>
      </c>
      <c r="N604" s="1">
        <v>82.49</v>
      </c>
      <c r="O604" t="s">
        <v>30</v>
      </c>
      <c r="P604">
        <v>4</v>
      </c>
      <c r="Q604" t="b">
        <v>0</v>
      </c>
      <c r="R604" t="s">
        <v>18</v>
      </c>
      <c r="S604">
        <v>9</v>
      </c>
      <c r="T604" t="e">
        <f>IF(#REF!&lt;=25, "Young Age", IF(#REF!&lt;=40, "Mid Age", "Old Age"))</f>
        <v>#REF!</v>
      </c>
      <c r="U604" t="str">
        <f t="shared" si="9"/>
        <v>Over Delayed</v>
      </c>
    </row>
    <row r="605" spans="1:21" x14ac:dyDescent="0.35">
      <c r="A605" t="s">
        <v>1368</v>
      </c>
      <c r="B605" s="13">
        <v>45543</v>
      </c>
      <c r="C605" t="s">
        <v>1369</v>
      </c>
      <c r="D605" t="s">
        <v>3</v>
      </c>
      <c r="E605" t="s">
        <v>14</v>
      </c>
      <c r="F605" t="s">
        <v>28</v>
      </c>
      <c r="G605" t="s">
        <v>55</v>
      </c>
      <c r="H605" t="s">
        <v>185</v>
      </c>
      <c r="I605">
        <v>1</v>
      </c>
      <c r="J605" s="1">
        <v>3018.11</v>
      </c>
      <c r="K605">
        <v>0</v>
      </c>
      <c r="L605" s="1">
        <v>3776.1</v>
      </c>
      <c r="M605" s="1">
        <v>922.32</v>
      </c>
      <c r="N605" s="1">
        <v>65.86</v>
      </c>
      <c r="O605" t="s">
        <v>8</v>
      </c>
      <c r="P605">
        <v>3</v>
      </c>
      <c r="Q605" t="b">
        <v>0</v>
      </c>
      <c r="R605" t="s">
        <v>63</v>
      </c>
      <c r="S605">
        <v>3</v>
      </c>
      <c r="T605" t="e">
        <f>IF(#REF!&lt;=25, "Young Age", IF(#REF!&lt;=40, "Mid Age", "Old Age"))</f>
        <v>#REF!</v>
      </c>
      <c r="U605" t="str">
        <f t="shared" si="9"/>
        <v>Okay</v>
      </c>
    </row>
    <row r="606" spans="1:21" x14ac:dyDescent="0.35">
      <c r="A606" t="s">
        <v>1370</v>
      </c>
      <c r="B606" s="13">
        <v>44028</v>
      </c>
      <c r="C606" t="s">
        <v>1371</v>
      </c>
      <c r="D606" t="s">
        <v>3</v>
      </c>
      <c r="E606" t="s">
        <v>61</v>
      </c>
      <c r="F606" t="s">
        <v>62</v>
      </c>
      <c r="G606" t="s">
        <v>41</v>
      </c>
      <c r="H606" t="s">
        <v>477</v>
      </c>
      <c r="I606">
        <v>4</v>
      </c>
      <c r="J606" s="1">
        <v>585.03</v>
      </c>
      <c r="K606">
        <v>0.39</v>
      </c>
      <c r="L606" s="1">
        <v>1538.2</v>
      </c>
      <c r="M606" s="1">
        <v>656.23</v>
      </c>
      <c r="N606" s="1">
        <v>105.88</v>
      </c>
      <c r="O606" t="s">
        <v>36</v>
      </c>
      <c r="P606">
        <v>5</v>
      </c>
      <c r="Q606" t="b">
        <v>0</v>
      </c>
      <c r="R606" t="s">
        <v>18</v>
      </c>
      <c r="S606">
        <v>1</v>
      </c>
      <c r="T606" t="e">
        <f>IF(#REF!&lt;=25, "Young Age", IF(#REF!&lt;=40, "Mid Age", "Old Age"))</f>
        <v>#REF!</v>
      </c>
      <c r="U606" t="str">
        <f t="shared" si="9"/>
        <v>Okay</v>
      </c>
    </row>
    <row r="607" spans="1:21" x14ac:dyDescent="0.35">
      <c r="A607" t="s">
        <v>1372</v>
      </c>
      <c r="B607" s="13">
        <v>43906</v>
      </c>
      <c r="C607" t="s">
        <v>1373</v>
      </c>
      <c r="D607" t="s">
        <v>3</v>
      </c>
      <c r="E607" t="s">
        <v>53</v>
      </c>
      <c r="F607" t="s">
        <v>170</v>
      </c>
      <c r="G607" t="s">
        <v>6</v>
      </c>
      <c r="H607" t="s">
        <v>387</v>
      </c>
      <c r="I607">
        <v>9</v>
      </c>
      <c r="J607" s="1">
        <v>167.67</v>
      </c>
      <c r="K607">
        <v>0.25</v>
      </c>
      <c r="L607" s="1">
        <v>1072.27</v>
      </c>
      <c r="M607" s="1">
        <v>93.59</v>
      </c>
      <c r="N607" s="1">
        <v>68.23</v>
      </c>
      <c r="O607" t="s">
        <v>43</v>
      </c>
      <c r="P607">
        <v>1</v>
      </c>
      <c r="Q607" t="b">
        <v>0</v>
      </c>
      <c r="R607" t="s">
        <v>18</v>
      </c>
      <c r="S607">
        <v>7</v>
      </c>
      <c r="T607" t="e">
        <f>IF(#REF!&lt;=25, "Young Age", IF(#REF!&lt;=40, "Mid Age", "Old Age"))</f>
        <v>#REF!</v>
      </c>
      <c r="U607" t="str">
        <f t="shared" si="9"/>
        <v>Delayed</v>
      </c>
    </row>
    <row r="608" spans="1:21" x14ac:dyDescent="0.35">
      <c r="A608" t="s">
        <v>1374</v>
      </c>
      <c r="B608" s="13">
        <v>45403</v>
      </c>
      <c r="C608" t="s">
        <v>1375</v>
      </c>
      <c r="D608" t="s">
        <v>47</v>
      </c>
      <c r="E608" t="s">
        <v>53</v>
      </c>
      <c r="F608" t="s">
        <v>114</v>
      </c>
      <c r="G608" t="s">
        <v>41</v>
      </c>
      <c r="H608" t="s">
        <v>244</v>
      </c>
      <c r="I608">
        <v>9</v>
      </c>
      <c r="J608" s="1">
        <v>518.92999999999995</v>
      </c>
      <c r="K608">
        <v>0.18</v>
      </c>
      <c r="L608" s="1">
        <v>6095.48</v>
      </c>
      <c r="M608" s="1">
        <v>2092.3200000000002</v>
      </c>
      <c r="N608" s="1">
        <v>33.549999999999997</v>
      </c>
      <c r="O608" t="s">
        <v>36</v>
      </c>
      <c r="P608">
        <v>3</v>
      </c>
      <c r="Q608" t="b">
        <v>0</v>
      </c>
      <c r="R608" t="s">
        <v>18</v>
      </c>
      <c r="S608">
        <v>3</v>
      </c>
      <c r="T608" t="e">
        <f>IF(#REF!&lt;=25, "Young Age", IF(#REF!&lt;=40, "Mid Age", "Old Age"))</f>
        <v>#REF!</v>
      </c>
      <c r="U608" t="str">
        <f t="shared" si="9"/>
        <v>Okay</v>
      </c>
    </row>
    <row r="609" spans="1:21" x14ac:dyDescent="0.35">
      <c r="A609" t="s">
        <v>1376</v>
      </c>
      <c r="B609" s="13">
        <v>45496</v>
      </c>
      <c r="C609" t="s">
        <v>1377</v>
      </c>
      <c r="D609" t="s">
        <v>3</v>
      </c>
      <c r="E609" t="s">
        <v>89</v>
      </c>
      <c r="F609" t="s">
        <v>90</v>
      </c>
      <c r="G609" t="s">
        <v>41</v>
      </c>
      <c r="H609" t="s">
        <v>261</v>
      </c>
      <c r="I609">
        <v>9</v>
      </c>
      <c r="J609" s="1">
        <v>1016.4</v>
      </c>
      <c r="K609">
        <v>0.28000000000000003</v>
      </c>
      <c r="L609" s="1">
        <v>11448.61</v>
      </c>
      <c r="M609" s="1">
        <v>5111.04</v>
      </c>
      <c r="N609" s="1">
        <v>85.13</v>
      </c>
      <c r="O609" t="s">
        <v>30</v>
      </c>
      <c r="P609">
        <v>2</v>
      </c>
      <c r="Q609" t="b">
        <v>0</v>
      </c>
      <c r="R609" t="s">
        <v>18</v>
      </c>
      <c r="S609">
        <v>5</v>
      </c>
      <c r="T609" t="e">
        <f>IF(#REF!&lt;=25, "Young Age", IF(#REF!&lt;=40, "Mid Age", "Old Age"))</f>
        <v>#REF!</v>
      </c>
      <c r="U609" t="str">
        <f t="shared" si="9"/>
        <v>Delayed</v>
      </c>
    </row>
    <row r="610" spans="1:21" x14ac:dyDescent="0.35">
      <c r="A610" t="s">
        <v>1378</v>
      </c>
      <c r="B610" s="13">
        <v>43993</v>
      </c>
      <c r="C610" t="s">
        <v>1379</v>
      </c>
      <c r="D610" t="s">
        <v>47</v>
      </c>
      <c r="E610" t="s">
        <v>89</v>
      </c>
      <c r="F610" t="s">
        <v>299</v>
      </c>
      <c r="G610" t="s">
        <v>124</v>
      </c>
      <c r="H610" t="s">
        <v>156</v>
      </c>
      <c r="I610">
        <v>1</v>
      </c>
      <c r="J610" s="1">
        <v>1702.99</v>
      </c>
      <c r="K610">
        <v>0.09</v>
      </c>
      <c r="L610" s="1">
        <v>1106.02</v>
      </c>
      <c r="M610" s="1">
        <v>224.4</v>
      </c>
      <c r="N610" s="1">
        <v>73.430000000000007</v>
      </c>
      <c r="O610" t="s">
        <v>49</v>
      </c>
      <c r="P610">
        <v>5</v>
      </c>
      <c r="Q610" t="b">
        <v>0</v>
      </c>
      <c r="R610" t="s">
        <v>18</v>
      </c>
      <c r="S610">
        <v>4</v>
      </c>
      <c r="T610" t="e">
        <f>IF(#REF!&lt;=25, "Young Age", IF(#REF!&lt;=40, "Mid Age", "Old Age"))</f>
        <v>#REF!</v>
      </c>
      <c r="U610" t="str">
        <f t="shared" si="9"/>
        <v>Okay</v>
      </c>
    </row>
    <row r="611" spans="1:21" x14ac:dyDescent="0.35">
      <c r="A611" t="s">
        <v>1380</v>
      </c>
      <c r="B611" s="13">
        <v>45611</v>
      </c>
      <c r="C611" t="s">
        <v>1381</v>
      </c>
      <c r="D611" t="s">
        <v>13</v>
      </c>
      <c r="E611" t="s">
        <v>89</v>
      </c>
      <c r="F611" t="s">
        <v>299</v>
      </c>
      <c r="G611" t="s">
        <v>23</v>
      </c>
      <c r="H611" t="s">
        <v>199</v>
      </c>
      <c r="I611">
        <v>9</v>
      </c>
      <c r="J611" s="1">
        <v>21959.46</v>
      </c>
      <c r="K611">
        <v>0.26</v>
      </c>
      <c r="L611" s="1">
        <v>157002.59</v>
      </c>
      <c r="M611" s="1">
        <v>28723.82</v>
      </c>
      <c r="N611" s="1">
        <v>58.03</v>
      </c>
      <c r="O611" t="s">
        <v>8</v>
      </c>
      <c r="P611">
        <v>1</v>
      </c>
      <c r="Q611" t="b">
        <v>0</v>
      </c>
      <c r="R611" t="s">
        <v>18</v>
      </c>
      <c r="S611">
        <v>3</v>
      </c>
      <c r="T611" t="e">
        <f>IF(#REF!&lt;=25, "Young Age", IF(#REF!&lt;=40, "Mid Age", "Old Age"))</f>
        <v>#REF!</v>
      </c>
      <c r="U611" t="str">
        <f t="shared" si="9"/>
        <v>Okay</v>
      </c>
    </row>
    <row r="612" spans="1:21" x14ac:dyDescent="0.35">
      <c r="A612" t="s">
        <v>1382</v>
      </c>
      <c r="B612" s="13">
        <v>44266</v>
      </c>
      <c r="C612" t="s">
        <v>1383</v>
      </c>
      <c r="D612" t="s">
        <v>47</v>
      </c>
      <c r="E612" t="s">
        <v>53</v>
      </c>
      <c r="F612" t="s">
        <v>170</v>
      </c>
      <c r="G612" t="s">
        <v>105</v>
      </c>
      <c r="H612" t="s">
        <v>106</v>
      </c>
      <c r="I612">
        <v>7</v>
      </c>
      <c r="J612" s="1">
        <v>75319.55</v>
      </c>
      <c r="K612">
        <v>0.06</v>
      </c>
      <c r="L612" s="1">
        <v>571655.9</v>
      </c>
      <c r="M612" s="1">
        <v>51762.81</v>
      </c>
      <c r="N612" s="1">
        <v>44.32</v>
      </c>
      <c r="O612" t="s">
        <v>8</v>
      </c>
      <c r="P612" t="s">
        <v>2149</v>
      </c>
      <c r="Q612" t="b">
        <v>0</v>
      </c>
      <c r="R612" t="s">
        <v>18</v>
      </c>
      <c r="S612">
        <v>3</v>
      </c>
      <c r="T612" t="e">
        <f>IF(#REF!&lt;=25, "Young Age", IF(#REF!&lt;=40, "Mid Age", "Old Age"))</f>
        <v>#REF!</v>
      </c>
      <c r="U612" t="str">
        <f t="shared" si="9"/>
        <v>Okay</v>
      </c>
    </row>
    <row r="613" spans="1:21" x14ac:dyDescent="0.35">
      <c r="A613" t="s">
        <v>1384</v>
      </c>
      <c r="B613" s="13">
        <v>45232</v>
      </c>
      <c r="C613" t="s">
        <v>1385</v>
      </c>
      <c r="D613" t="s">
        <v>3</v>
      </c>
      <c r="E613" t="s">
        <v>4</v>
      </c>
      <c r="F613" t="s">
        <v>34</v>
      </c>
      <c r="G613" t="s">
        <v>23</v>
      </c>
      <c r="H613" t="s">
        <v>29</v>
      </c>
      <c r="I613">
        <v>6</v>
      </c>
      <c r="J613" s="1">
        <v>12617.99</v>
      </c>
      <c r="K613">
        <v>0.05</v>
      </c>
      <c r="L613" s="1">
        <v>66859.47</v>
      </c>
      <c r="M613" s="1">
        <v>19527.7</v>
      </c>
      <c r="N613" s="1">
        <v>32.57</v>
      </c>
      <c r="O613" t="s">
        <v>8</v>
      </c>
      <c r="P613">
        <v>4</v>
      </c>
      <c r="Q613" t="b">
        <v>0</v>
      </c>
      <c r="R613" t="s">
        <v>18</v>
      </c>
      <c r="S613">
        <v>9</v>
      </c>
      <c r="T613" t="e">
        <f>IF(#REF!&lt;=25, "Young Age", IF(#REF!&lt;=40, "Mid Age", "Old Age"))</f>
        <v>#REF!</v>
      </c>
      <c r="U613" t="str">
        <f t="shared" si="9"/>
        <v>Over Delayed</v>
      </c>
    </row>
    <row r="614" spans="1:21" x14ac:dyDescent="0.35">
      <c r="A614" t="s">
        <v>1386</v>
      </c>
      <c r="B614" s="13">
        <v>43893</v>
      </c>
      <c r="C614" t="s">
        <v>1387</v>
      </c>
      <c r="D614" t="s">
        <v>47</v>
      </c>
      <c r="E614" t="s">
        <v>61</v>
      </c>
      <c r="F614" t="s">
        <v>271</v>
      </c>
      <c r="G614" t="s">
        <v>41</v>
      </c>
      <c r="H614" t="s">
        <v>85</v>
      </c>
      <c r="I614">
        <v>1</v>
      </c>
      <c r="J614" s="1">
        <v>928.19</v>
      </c>
      <c r="K614">
        <v>0.28999999999999998</v>
      </c>
      <c r="L614" s="1">
        <v>699.17</v>
      </c>
      <c r="M614" s="1">
        <v>249.77</v>
      </c>
      <c r="N614" s="1">
        <v>65.349999999999994</v>
      </c>
      <c r="O614" t="s">
        <v>36</v>
      </c>
      <c r="P614">
        <v>5</v>
      </c>
      <c r="Q614" t="b">
        <v>0</v>
      </c>
      <c r="R614" t="s">
        <v>63</v>
      </c>
      <c r="S614">
        <v>9</v>
      </c>
      <c r="T614" t="e">
        <f>IF(#REF!&lt;=25, "Young Age", IF(#REF!&lt;=40, "Mid Age", "Old Age"))</f>
        <v>#REF!</v>
      </c>
      <c r="U614" t="str">
        <f t="shared" si="9"/>
        <v>Over Delayed</v>
      </c>
    </row>
    <row r="615" spans="1:21" x14ac:dyDescent="0.35">
      <c r="A615" t="s">
        <v>1388</v>
      </c>
      <c r="B615" s="13">
        <v>44465</v>
      </c>
      <c r="C615" t="s">
        <v>1046</v>
      </c>
      <c r="D615" t="s">
        <v>3</v>
      </c>
      <c r="E615" t="s">
        <v>14</v>
      </c>
      <c r="F615" t="s">
        <v>15</v>
      </c>
      <c r="G615" t="s">
        <v>55</v>
      </c>
      <c r="H615" t="s">
        <v>110</v>
      </c>
      <c r="I615">
        <v>6</v>
      </c>
      <c r="J615" s="1">
        <v>1744.18</v>
      </c>
      <c r="K615">
        <v>0.2</v>
      </c>
      <c r="L615" s="1">
        <v>8503.76</v>
      </c>
      <c r="M615" s="1">
        <v>2737.92</v>
      </c>
      <c r="N615" s="1">
        <v>72.31</v>
      </c>
      <c r="O615" t="s">
        <v>43</v>
      </c>
      <c r="P615">
        <v>5</v>
      </c>
      <c r="Q615" t="b">
        <v>0</v>
      </c>
      <c r="R615" t="s">
        <v>115</v>
      </c>
      <c r="S615">
        <v>5</v>
      </c>
      <c r="T615" t="e">
        <f>IF(#REF!&lt;=25, "Young Age", IF(#REF!&lt;=40, "Mid Age", "Old Age"))</f>
        <v>#REF!</v>
      </c>
      <c r="U615" t="str">
        <f t="shared" si="9"/>
        <v>Delayed</v>
      </c>
    </row>
    <row r="616" spans="1:21" x14ac:dyDescent="0.35">
      <c r="A616" t="s">
        <v>1389</v>
      </c>
      <c r="B616" s="13">
        <v>45511</v>
      </c>
      <c r="C616" t="s">
        <v>1390</v>
      </c>
      <c r="D616" t="s">
        <v>47</v>
      </c>
      <c r="E616" t="s">
        <v>53</v>
      </c>
      <c r="F616" t="s">
        <v>79</v>
      </c>
      <c r="G616" t="s">
        <v>16</v>
      </c>
      <c r="H616" t="s">
        <v>80</v>
      </c>
      <c r="I616">
        <v>8</v>
      </c>
      <c r="J616" s="1">
        <v>1652.49</v>
      </c>
      <c r="K616">
        <v>0.27</v>
      </c>
      <c r="L616" s="1">
        <v>14214.4</v>
      </c>
      <c r="M616" s="1">
        <v>5014</v>
      </c>
      <c r="N616" s="1">
        <v>26.94</v>
      </c>
      <c r="O616" t="s">
        <v>36</v>
      </c>
      <c r="P616">
        <v>1</v>
      </c>
      <c r="Q616" t="b">
        <v>0</v>
      </c>
      <c r="R616" t="s">
        <v>175</v>
      </c>
      <c r="S616">
        <v>2</v>
      </c>
      <c r="T616" t="e">
        <f>IF(#REF!&lt;=25, "Young Age", IF(#REF!&lt;=40, "Mid Age", "Old Age"))</f>
        <v>#REF!</v>
      </c>
      <c r="U616" t="str">
        <f t="shared" si="9"/>
        <v>Okay</v>
      </c>
    </row>
    <row r="617" spans="1:21" x14ac:dyDescent="0.35">
      <c r="A617" t="s">
        <v>1391</v>
      </c>
      <c r="B617" s="13">
        <v>44880</v>
      </c>
      <c r="C617" t="s">
        <v>1392</v>
      </c>
      <c r="D617" t="s">
        <v>13</v>
      </c>
      <c r="E617" t="s">
        <v>53</v>
      </c>
      <c r="F617" t="s">
        <v>170</v>
      </c>
      <c r="G617" t="s">
        <v>124</v>
      </c>
      <c r="H617" t="s">
        <v>139</v>
      </c>
      <c r="I617">
        <v>4</v>
      </c>
      <c r="J617" s="1">
        <v>1627.2</v>
      </c>
      <c r="K617">
        <v>0.35</v>
      </c>
      <c r="L617" s="1">
        <v>3842.87</v>
      </c>
      <c r="M617" s="1">
        <v>894.8</v>
      </c>
      <c r="N617" s="1">
        <v>32.06</v>
      </c>
      <c r="O617" t="s">
        <v>30</v>
      </c>
      <c r="P617">
        <v>4</v>
      </c>
      <c r="Q617" t="b">
        <v>0</v>
      </c>
      <c r="R617" t="s">
        <v>18</v>
      </c>
      <c r="S617">
        <v>1</v>
      </c>
      <c r="T617" t="e">
        <f>IF(#REF!&lt;=25, "Young Age", IF(#REF!&lt;=40, "Mid Age", "Old Age"))</f>
        <v>#REF!</v>
      </c>
      <c r="U617" t="str">
        <f t="shared" si="9"/>
        <v>Okay</v>
      </c>
    </row>
    <row r="618" spans="1:21" x14ac:dyDescent="0.35">
      <c r="A618" t="s">
        <v>1393</v>
      </c>
      <c r="B618" s="13">
        <v>44546</v>
      </c>
      <c r="C618" t="s">
        <v>1394</v>
      </c>
      <c r="D618" t="s">
        <v>47</v>
      </c>
      <c r="E618" t="s">
        <v>14</v>
      </c>
      <c r="F618" t="s">
        <v>22</v>
      </c>
      <c r="G618" t="s">
        <v>55</v>
      </c>
      <c r="H618" t="s">
        <v>100</v>
      </c>
      <c r="I618">
        <v>1</v>
      </c>
      <c r="J618" s="1">
        <v>3977.51</v>
      </c>
      <c r="K618">
        <v>0.3</v>
      </c>
      <c r="L618" s="1">
        <v>1958.29</v>
      </c>
      <c r="M618" s="1">
        <v>447.76</v>
      </c>
      <c r="N618" s="1">
        <v>61.65</v>
      </c>
      <c r="O618" t="s">
        <v>57</v>
      </c>
      <c r="P618">
        <v>1</v>
      </c>
      <c r="Q618" t="b">
        <v>0</v>
      </c>
      <c r="R618" t="s">
        <v>18</v>
      </c>
      <c r="S618">
        <v>9</v>
      </c>
      <c r="T618" t="e">
        <f>IF(#REF!&lt;=25, "Young Age", IF(#REF!&lt;=40, "Mid Age", "Old Age"))</f>
        <v>#REF!</v>
      </c>
      <c r="U618" t="str">
        <f t="shared" si="9"/>
        <v>Over Delayed</v>
      </c>
    </row>
    <row r="619" spans="1:21" x14ac:dyDescent="0.35">
      <c r="A619" t="s">
        <v>1395</v>
      </c>
      <c r="B619" s="13">
        <v>45513</v>
      </c>
      <c r="C619" t="s">
        <v>1396</v>
      </c>
      <c r="D619" t="s">
        <v>3</v>
      </c>
      <c r="E619" t="s">
        <v>14</v>
      </c>
      <c r="F619" t="s">
        <v>15</v>
      </c>
      <c r="G619" t="s">
        <v>41</v>
      </c>
      <c r="H619" t="s">
        <v>85</v>
      </c>
      <c r="I619">
        <v>10</v>
      </c>
      <c r="J619" s="1">
        <v>742.8</v>
      </c>
      <c r="K619">
        <v>0.27</v>
      </c>
      <c r="L619" s="1">
        <v>7769.9</v>
      </c>
      <c r="M619" s="1">
        <v>2273.34</v>
      </c>
      <c r="N619" s="1">
        <v>49.53</v>
      </c>
      <c r="O619" t="s">
        <v>43</v>
      </c>
      <c r="P619">
        <v>5</v>
      </c>
      <c r="Q619" t="b">
        <v>0</v>
      </c>
      <c r="R619" t="s">
        <v>18</v>
      </c>
      <c r="S619">
        <v>2</v>
      </c>
      <c r="T619" t="e">
        <f>IF(#REF!&lt;=25, "Young Age", IF(#REF!&lt;=40, "Mid Age", "Old Age"))</f>
        <v>#REF!</v>
      </c>
      <c r="U619" t="str">
        <f t="shared" si="9"/>
        <v>Okay</v>
      </c>
    </row>
    <row r="620" spans="1:21" x14ac:dyDescent="0.35">
      <c r="A620" t="s">
        <v>1397</v>
      </c>
      <c r="B620" s="13">
        <v>44056</v>
      </c>
      <c r="C620" t="s">
        <v>1398</v>
      </c>
      <c r="D620" t="s">
        <v>3</v>
      </c>
      <c r="E620" t="s">
        <v>14</v>
      </c>
      <c r="F620" t="s">
        <v>22</v>
      </c>
      <c r="G620" t="s">
        <v>6</v>
      </c>
      <c r="H620" t="s">
        <v>7</v>
      </c>
      <c r="I620">
        <v>10</v>
      </c>
      <c r="J620" s="1">
        <v>321.17</v>
      </c>
      <c r="K620">
        <v>0.36</v>
      </c>
      <c r="L620" s="1">
        <v>2171.58</v>
      </c>
      <c r="M620" s="1">
        <v>181.47</v>
      </c>
      <c r="N620" s="1">
        <v>51.28</v>
      </c>
      <c r="O620" t="s">
        <v>36</v>
      </c>
      <c r="P620">
        <v>5</v>
      </c>
      <c r="Q620" t="b">
        <v>0</v>
      </c>
      <c r="R620" t="s">
        <v>18</v>
      </c>
      <c r="S620">
        <v>1</v>
      </c>
      <c r="T620" t="e">
        <f>IF(#REF!&lt;=25, "Young Age", IF(#REF!&lt;=40, "Mid Age", "Old Age"))</f>
        <v>#REF!</v>
      </c>
      <c r="U620" t="str">
        <f t="shared" si="9"/>
        <v>Okay</v>
      </c>
    </row>
    <row r="621" spans="1:21" x14ac:dyDescent="0.35">
      <c r="A621" t="s">
        <v>1399</v>
      </c>
      <c r="B621" s="13">
        <v>43899</v>
      </c>
      <c r="C621" t="s">
        <v>1400</v>
      </c>
      <c r="D621" t="s">
        <v>13</v>
      </c>
      <c r="E621" t="s">
        <v>89</v>
      </c>
      <c r="F621" t="s">
        <v>299</v>
      </c>
      <c r="G621" t="s">
        <v>41</v>
      </c>
      <c r="H621" t="s">
        <v>261</v>
      </c>
      <c r="I621">
        <v>6</v>
      </c>
      <c r="J621" s="1">
        <v>997.06</v>
      </c>
      <c r="K621">
        <v>0.35</v>
      </c>
      <c r="L621" s="1">
        <v>3628.96</v>
      </c>
      <c r="M621" s="1">
        <v>1433.29</v>
      </c>
      <c r="N621" s="1">
        <v>49.84</v>
      </c>
      <c r="O621" t="s">
        <v>43</v>
      </c>
      <c r="P621" t="s">
        <v>2149</v>
      </c>
      <c r="Q621" t="b">
        <v>0</v>
      </c>
      <c r="R621" t="s">
        <v>18</v>
      </c>
      <c r="S621">
        <v>4</v>
      </c>
      <c r="T621" t="e">
        <f>IF(#REF!&lt;=25, "Young Age", IF(#REF!&lt;=40, "Mid Age", "Old Age"))</f>
        <v>#REF!</v>
      </c>
      <c r="U621" t="str">
        <f t="shared" si="9"/>
        <v>Okay</v>
      </c>
    </row>
    <row r="622" spans="1:21" x14ac:dyDescent="0.35">
      <c r="A622" t="s">
        <v>1401</v>
      </c>
      <c r="B622" s="13">
        <v>45044</v>
      </c>
      <c r="C622" t="s">
        <v>1402</v>
      </c>
      <c r="D622" t="s">
        <v>47</v>
      </c>
      <c r="E622" t="s">
        <v>89</v>
      </c>
      <c r="F622" t="s">
        <v>299</v>
      </c>
      <c r="G622" t="s">
        <v>6</v>
      </c>
      <c r="H622" t="s">
        <v>387</v>
      </c>
      <c r="I622">
        <v>10</v>
      </c>
      <c r="J622" s="1">
        <v>310.75</v>
      </c>
      <c r="K622">
        <v>0.28000000000000003</v>
      </c>
      <c r="L622" s="1">
        <v>2966.57</v>
      </c>
      <c r="M622" s="1">
        <v>220.38</v>
      </c>
      <c r="N622" s="1">
        <v>68.83</v>
      </c>
      <c r="O622" t="s">
        <v>30</v>
      </c>
      <c r="P622">
        <v>3</v>
      </c>
      <c r="Q622" t="b">
        <v>0</v>
      </c>
      <c r="R622" t="s">
        <v>18</v>
      </c>
      <c r="S622">
        <v>7</v>
      </c>
      <c r="T622" t="e">
        <f>IF(#REF!&lt;=25, "Young Age", IF(#REF!&lt;=40, "Mid Age", "Old Age"))</f>
        <v>#REF!</v>
      </c>
      <c r="U622" t="str">
        <f t="shared" si="9"/>
        <v>Delayed</v>
      </c>
    </row>
    <row r="623" spans="1:21" x14ac:dyDescent="0.35">
      <c r="A623" t="s">
        <v>1403</v>
      </c>
      <c r="B623" s="13">
        <v>45218</v>
      </c>
      <c r="C623" t="s">
        <v>1404</v>
      </c>
      <c r="D623" t="s">
        <v>47</v>
      </c>
      <c r="E623" t="s">
        <v>4</v>
      </c>
      <c r="F623" t="s">
        <v>148</v>
      </c>
      <c r="G623" t="s">
        <v>124</v>
      </c>
      <c r="H623" t="s">
        <v>254</v>
      </c>
      <c r="I623">
        <v>3</v>
      </c>
      <c r="J623" s="1">
        <v>13795.34</v>
      </c>
      <c r="K623">
        <v>0.33</v>
      </c>
      <c r="L623" s="1">
        <v>30187.27</v>
      </c>
      <c r="M623" s="1">
        <v>7482.85</v>
      </c>
      <c r="N623" s="1">
        <v>39.479999999999997</v>
      </c>
      <c r="O623" t="s">
        <v>49</v>
      </c>
      <c r="P623">
        <v>5</v>
      </c>
      <c r="Q623" t="b">
        <v>0</v>
      </c>
      <c r="R623" t="s">
        <v>18</v>
      </c>
      <c r="S623">
        <v>9</v>
      </c>
      <c r="T623" t="e">
        <f>IF(#REF!&lt;=25, "Young Age", IF(#REF!&lt;=40, "Mid Age", "Old Age"))</f>
        <v>#REF!</v>
      </c>
      <c r="U623" t="str">
        <f t="shared" si="9"/>
        <v>Over Delayed</v>
      </c>
    </row>
    <row r="624" spans="1:21" x14ac:dyDescent="0.35">
      <c r="A624" t="s">
        <v>1405</v>
      </c>
      <c r="B624" s="13">
        <v>45026</v>
      </c>
      <c r="C624" t="s">
        <v>1406</v>
      </c>
      <c r="D624" t="s">
        <v>13</v>
      </c>
      <c r="E624" t="s">
        <v>14</v>
      </c>
      <c r="F624" t="s">
        <v>84</v>
      </c>
      <c r="G624" t="s">
        <v>124</v>
      </c>
      <c r="H624" t="s">
        <v>254</v>
      </c>
      <c r="I624">
        <v>3</v>
      </c>
      <c r="J624" s="1">
        <v>11672.79</v>
      </c>
      <c r="K624">
        <v>0.26</v>
      </c>
      <c r="L624" s="1">
        <v>39508.65</v>
      </c>
      <c r="M624" s="1">
        <v>10514.43</v>
      </c>
      <c r="N624" s="1">
        <v>77.349999999999994</v>
      </c>
      <c r="O624" t="s">
        <v>30</v>
      </c>
      <c r="P624">
        <v>2</v>
      </c>
      <c r="Q624" t="b">
        <v>0</v>
      </c>
      <c r="R624" t="s">
        <v>115</v>
      </c>
      <c r="S624">
        <v>2</v>
      </c>
      <c r="T624" t="e">
        <f>IF(#REF!&lt;=25, "Young Age", IF(#REF!&lt;=40, "Mid Age", "Old Age"))</f>
        <v>#REF!</v>
      </c>
      <c r="U624" t="str">
        <f t="shared" si="9"/>
        <v>Okay</v>
      </c>
    </row>
    <row r="625" spans="1:21" x14ac:dyDescent="0.35">
      <c r="A625" t="s">
        <v>1407</v>
      </c>
      <c r="B625" s="13">
        <v>44675</v>
      </c>
      <c r="C625" t="s">
        <v>1408</v>
      </c>
      <c r="D625" t="s">
        <v>47</v>
      </c>
      <c r="E625" t="s">
        <v>4</v>
      </c>
      <c r="F625" t="s">
        <v>5</v>
      </c>
      <c r="G625" t="s">
        <v>105</v>
      </c>
      <c r="H625" t="s">
        <v>106</v>
      </c>
      <c r="I625">
        <v>1</v>
      </c>
      <c r="J625" s="1">
        <v>23696.79</v>
      </c>
      <c r="K625">
        <v>0.36</v>
      </c>
      <c r="L625" s="1">
        <v>19360.650000000001</v>
      </c>
      <c r="M625" s="1">
        <v>2981.96</v>
      </c>
      <c r="N625" s="1">
        <v>18.02</v>
      </c>
      <c r="O625" t="s">
        <v>30</v>
      </c>
      <c r="P625">
        <v>4</v>
      </c>
      <c r="Q625" t="b">
        <v>0</v>
      </c>
      <c r="R625" t="s">
        <v>18</v>
      </c>
      <c r="S625">
        <v>9</v>
      </c>
      <c r="T625" t="e">
        <f>IF(#REF!&lt;=25, "Young Age", IF(#REF!&lt;=40, "Mid Age", "Old Age"))</f>
        <v>#REF!</v>
      </c>
      <c r="U625" t="str">
        <f t="shared" si="9"/>
        <v>Over Delayed</v>
      </c>
    </row>
    <row r="626" spans="1:21" x14ac:dyDescent="0.35">
      <c r="A626" t="s">
        <v>1409</v>
      </c>
      <c r="B626" s="13">
        <v>45509</v>
      </c>
      <c r="C626" t="s">
        <v>1410</v>
      </c>
      <c r="D626" t="s">
        <v>13</v>
      </c>
      <c r="E626" t="s">
        <v>89</v>
      </c>
      <c r="F626" t="s">
        <v>90</v>
      </c>
      <c r="G626" t="s">
        <v>105</v>
      </c>
      <c r="H626" t="s">
        <v>149</v>
      </c>
      <c r="I626">
        <v>8</v>
      </c>
      <c r="J626" s="1">
        <v>50411.34</v>
      </c>
      <c r="K626">
        <v>0.17</v>
      </c>
      <c r="L626" s="1">
        <v>538833.63</v>
      </c>
      <c r="M626" s="1">
        <v>74291.94</v>
      </c>
      <c r="N626" s="1">
        <v>56.86</v>
      </c>
      <c r="O626" t="s">
        <v>57</v>
      </c>
      <c r="P626">
        <v>2</v>
      </c>
      <c r="Q626" t="b">
        <v>0</v>
      </c>
      <c r="R626" t="s">
        <v>18</v>
      </c>
      <c r="S626">
        <v>7</v>
      </c>
      <c r="T626" t="e">
        <f>IF(#REF!&lt;=25, "Young Age", IF(#REF!&lt;=40, "Mid Age", "Old Age"))</f>
        <v>#REF!</v>
      </c>
      <c r="U626" t="str">
        <f t="shared" si="9"/>
        <v>Delayed</v>
      </c>
    </row>
    <row r="627" spans="1:21" x14ac:dyDescent="0.35">
      <c r="A627" t="s">
        <v>1411</v>
      </c>
      <c r="B627" s="13">
        <v>44168</v>
      </c>
      <c r="C627" t="s">
        <v>1412</v>
      </c>
      <c r="D627" t="s">
        <v>47</v>
      </c>
      <c r="E627" t="s">
        <v>61</v>
      </c>
      <c r="F627" t="s">
        <v>222</v>
      </c>
      <c r="G627" t="s">
        <v>16</v>
      </c>
      <c r="H627" t="s">
        <v>209</v>
      </c>
      <c r="I627">
        <v>5</v>
      </c>
      <c r="J627" s="1">
        <v>1245.93</v>
      </c>
      <c r="K627">
        <v>0.14000000000000001</v>
      </c>
      <c r="L627" s="1">
        <v>3724.57</v>
      </c>
      <c r="M627" s="1">
        <v>1585.85</v>
      </c>
      <c r="N627" s="1">
        <v>84.66</v>
      </c>
      <c r="O627" t="s">
        <v>43</v>
      </c>
      <c r="P627">
        <v>4</v>
      </c>
      <c r="Q627" t="b">
        <v>0</v>
      </c>
      <c r="R627" t="s">
        <v>18</v>
      </c>
      <c r="S627">
        <v>4</v>
      </c>
      <c r="T627" t="e">
        <f>IF(#REF!&lt;=25, "Young Age", IF(#REF!&lt;=40, "Mid Age", "Old Age"))</f>
        <v>#REF!</v>
      </c>
      <c r="U627" t="str">
        <f t="shared" si="9"/>
        <v>Okay</v>
      </c>
    </row>
    <row r="628" spans="1:21" x14ac:dyDescent="0.35">
      <c r="A628" t="s">
        <v>1413</v>
      </c>
      <c r="B628" s="13">
        <v>45304</v>
      </c>
      <c r="C628" t="s">
        <v>1414</v>
      </c>
      <c r="D628" t="s">
        <v>13</v>
      </c>
      <c r="E628" t="s">
        <v>53</v>
      </c>
      <c r="F628" t="s">
        <v>79</v>
      </c>
      <c r="G628" t="s">
        <v>23</v>
      </c>
      <c r="H628" t="s">
        <v>29</v>
      </c>
      <c r="I628">
        <v>4</v>
      </c>
      <c r="J628" s="1">
        <v>10877.51</v>
      </c>
      <c r="K628">
        <v>0.4</v>
      </c>
      <c r="L628" s="1">
        <v>25389.56</v>
      </c>
      <c r="M628" s="1">
        <v>5507.59</v>
      </c>
      <c r="N628" s="1">
        <v>72.069999999999993</v>
      </c>
      <c r="O628" t="s">
        <v>36</v>
      </c>
      <c r="P628">
        <v>5</v>
      </c>
      <c r="Q628" t="b">
        <v>0</v>
      </c>
      <c r="R628" t="s">
        <v>18</v>
      </c>
      <c r="S628">
        <v>9</v>
      </c>
      <c r="T628" t="e">
        <f>IF(#REF!&lt;=25, "Young Age", IF(#REF!&lt;=40, "Mid Age", "Old Age"))</f>
        <v>#REF!</v>
      </c>
      <c r="U628" t="str">
        <f t="shared" si="9"/>
        <v>Over Delayed</v>
      </c>
    </row>
    <row r="629" spans="1:21" x14ac:dyDescent="0.35">
      <c r="A629" t="s">
        <v>1415</v>
      </c>
      <c r="B629" s="13">
        <v>45167</v>
      </c>
      <c r="C629" t="s">
        <v>1416</v>
      </c>
      <c r="D629" t="s">
        <v>3</v>
      </c>
      <c r="E629" t="s">
        <v>89</v>
      </c>
      <c r="F629" t="s">
        <v>90</v>
      </c>
      <c r="G629" t="s">
        <v>23</v>
      </c>
      <c r="H629" t="s">
        <v>199</v>
      </c>
      <c r="I629">
        <v>6</v>
      </c>
      <c r="J629" s="1">
        <v>11929.15</v>
      </c>
      <c r="K629">
        <v>0.13</v>
      </c>
      <c r="L629" s="1">
        <v>90019.76</v>
      </c>
      <c r="M629" s="1">
        <v>15285.49</v>
      </c>
      <c r="N629" s="1">
        <v>66.849999999999994</v>
      </c>
      <c r="O629" t="s">
        <v>36</v>
      </c>
      <c r="P629">
        <v>5</v>
      </c>
      <c r="Q629" t="b">
        <v>0</v>
      </c>
      <c r="R629" t="s">
        <v>63</v>
      </c>
      <c r="S629">
        <v>4</v>
      </c>
      <c r="T629" t="e">
        <f>IF(#REF!&lt;=25, "Young Age", IF(#REF!&lt;=40, "Mid Age", "Old Age"))</f>
        <v>#REF!</v>
      </c>
      <c r="U629" t="str">
        <f t="shared" si="9"/>
        <v>Okay</v>
      </c>
    </row>
    <row r="630" spans="1:21" x14ac:dyDescent="0.35">
      <c r="A630" t="s">
        <v>1417</v>
      </c>
      <c r="B630" s="13">
        <v>44729</v>
      </c>
      <c r="C630" t="s">
        <v>1418</v>
      </c>
      <c r="D630" t="s">
        <v>3</v>
      </c>
      <c r="E630" t="s">
        <v>53</v>
      </c>
      <c r="F630" t="s">
        <v>79</v>
      </c>
      <c r="G630" t="s">
        <v>16</v>
      </c>
      <c r="H630" t="s">
        <v>160</v>
      </c>
      <c r="I630">
        <v>9</v>
      </c>
      <c r="J630" s="1">
        <v>217.37</v>
      </c>
      <c r="K630">
        <v>0.23</v>
      </c>
      <c r="L630" s="1">
        <v>2271.02</v>
      </c>
      <c r="M630" s="1">
        <v>949.07</v>
      </c>
      <c r="N630" s="1">
        <v>51.63</v>
      </c>
      <c r="O630" t="s">
        <v>30</v>
      </c>
      <c r="P630">
        <v>2</v>
      </c>
      <c r="Q630" t="b">
        <v>1</v>
      </c>
      <c r="R630" t="s">
        <v>9</v>
      </c>
      <c r="S630">
        <v>8</v>
      </c>
      <c r="T630" t="e">
        <f>IF(#REF!&lt;=25, "Young Age", IF(#REF!&lt;=40, "Mid Age", "Old Age"))</f>
        <v>#REF!</v>
      </c>
      <c r="U630" t="str">
        <f t="shared" si="9"/>
        <v>Over Delayed</v>
      </c>
    </row>
    <row r="631" spans="1:21" x14ac:dyDescent="0.35">
      <c r="A631" t="s">
        <v>1419</v>
      </c>
      <c r="B631" s="13">
        <v>45289</v>
      </c>
      <c r="C631" t="s">
        <v>1420</v>
      </c>
      <c r="D631" t="s">
        <v>3</v>
      </c>
      <c r="E631" t="s">
        <v>4</v>
      </c>
      <c r="F631" t="s">
        <v>48</v>
      </c>
      <c r="G631" t="s">
        <v>105</v>
      </c>
      <c r="H631" t="s">
        <v>438</v>
      </c>
      <c r="I631">
        <v>4</v>
      </c>
      <c r="J631" s="1">
        <v>76576.240000000005</v>
      </c>
      <c r="K631">
        <v>0.36</v>
      </c>
      <c r="L631" s="1">
        <v>154095.35999999999</v>
      </c>
      <c r="M631" s="1">
        <v>19680.310000000001</v>
      </c>
      <c r="N631" s="1">
        <v>60.02</v>
      </c>
      <c r="O631" t="s">
        <v>36</v>
      </c>
      <c r="P631">
        <v>5</v>
      </c>
      <c r="Q631" t="b">
        <v>0</v>
      </c>
      <c r="R631" t="s">
        <v>18</v>
      </c>
      <c r="S631">
        <v>2</v>
      </c>
      <c r="T631" t="e">
        <f>IF(#REF!&lt;=25, "Young Age", IF(#REF!&lt;=40, "Mid Age", "Old Age"))</f>
        <v>#REF!</v>
      </c>
      <c r="U631" t="str">
        <f t="shared" si="9"/>
        <v>Okay</v>
      </c>
    </row>
    <row r="632" spans="1:21" x14ac:dyDescent="0.35">
      <c r="A632" t="s">
        <v>1421</v>
      </c>
      <c r="B632" s="13">
        <v>44162</v>
      </c>
      <c r="C632" t="s">
        <v>1422</v>
      </c>
      <c r="D632" t="s">
        <v>3</v>
      </c>
      <c r="E632" t="s">
        <v>53</v>
      </c>
      <c r="F632" t="s">
        <v>114</v>
      </c>
      <c r="G632" t="s">
        <v>124</v>
      </c>
      <c r="H632" t="s">
        <v>413</v>
      </c>
      <c r="I632">
        <v>1</v>
      </c>
      <c r="J632" s="1">
        <v>8581.84</v>
      </c>
      <c r="K632">
        <v>0.17</v>
      </c>
      <c r="L632" s="1">
        <v>4599.3500000000004</v>
      </c>
      <c r="M632" s="1">
        <v>941.93</v>
      </c>
      <c r="N632" s="1">
        <v>62.41</v>
      </c>
      <c r="O632" t="s">
        <v>57</v>
      </c>
      <c r="P632">
        <v>3</v>
      </c>
      <c r="Q632" t="b">
        <v>0</v>
      </c>
      <c r="R632" t="s">
        <v>18</v>
      </c>
      <c r="S632">
        <v>6</v>
      </c>
      <c r="T632" t="e">
        <f>IF(#REF!&lt;=25, "Young Age", IF(#REF!&lt;=40, "Mid Age", "Old Age"))</f>
        <v>#REF!</v>
      </c>
      <c r="U632" t="str">
        <f t="shared" si="9"/>
        <v>Delayed</v>
      </c>
    </row>
    <row r="633" spans="1:21" x14ac:dyDescent="0.35">
      <c r="A633" t="s">
        <v>1423</v>
      </c>
      <c r="B633" s="13">
        <v>44216</v>
      </c>
      <c r="C633" t="s">
        <v>1424</v>
      </c>
      <c r="D633" t="s">
        <v>47</v>
      </c>
      <c r="E633" t="s">
        <v>61</v>
      </c>
      <c r="F633" t="s">
        <v>222</v>
      </c>
      <c r="G633" t="s">
        <v>6</v>
      </c>
      <c r="H633" t="s">
        <v>353</v>
      </c>
      <c r="I633">
        <v>4</v>
      </c>
      <c r="J633" s="1">
        <v>246.81</v>
      </c>
      <c r="K633">
        <v>0.32</v>
      </c>
      <c r="L633" s="1">
        <v>564.98</v>
      </c>
      <c r="M633" s="1">
        <v>41.55</v>
      </c>
      <c r="N633" s="1">
        <v>95.51</v>
      </c>
      <c r="O633" t="s">
        <v>43</v>
      </c>
      <c r="P633">
        <v>2</v>
      </c>
      <c r="Q633" t="b">
        <v>0</v>
      </c>
      <c r="R633" t="s">
        <v>63</v>
      </c>
      <c r="S633">
        <v>6</v>
      </c>
      <c r="T633" t="e">
        <f>IF(#REF!&lt;=25, "Young Age", IF(#REF!&lt;=40, "Mid Age", "Old Age"))</f>
        <v>#REF!</v>
      </c>
      <c r="U633" t="str">
        <f t="shared" si="9"/>
        <v>Delayed</v>
      </c>
    </row>
    <row r="634" spans="1:21" x14ac:dyDescent="0.35">
      <c r="A634" t="s">
        <v>1425</v>
      </c>
      <c r="B634" s="13">
        <v>44628</v>
      </c>
      <c r="C634" t="s">
        <v>1426</v>
      </c>
      <c r="D634" t="s">
        <v>47</v>
      </c>
      <c r="E634" t="s">
        <v>14</v>
      </c>
      <c r="F634" t="s">
        <v>22</v>
      </c>
      <c r="G634" t="s">
        <v>55</v>
      </c>
      <c r="H634" t="s">
        <v>56</v>
      </c>
      <c r="I634">
        <v>8</v>
      </c>
      <c r="J634" s="1">
        <v>1988.03</v>
      </c>
      <c r="K634">
        <v>0.22</v>
      </c>
      <c r="L634" s="1">
        <v>14005.89</v>
      </c>
      <c r="M634" s="1">
        <v>4000.64</v>
      </c>
      <c r="N634" s="1">
        <v>66.849999999999994</v>
      </c>
      <c r="O634" t="s">
        <v>43</v>
      </c>
      <c r="P634" t="s">
        <v>2149</v>
      </c>
      <c r="Q634" t="b">
        <v>0</v>
      </c>
      <c r="R634" t="s">
        <v>18</v>
      </c>
      <c r="S634">
        <v>5</v>
      </c>
      <c r="T634" t="e">
        <f>IF(#REF!&lt;=25, "Young Age", IF(#REF!&lt;=40, "Mid Age", "Old Age"))</f>
        <v>#REF!</v>
      </c>
      <c r="U634" t="str">
        <f t="shared" si="9"/>
        <v>Delayed</v>
      </c>
    </row>
    <row r="635" spans="1:21" x14ac:dyDescent="0.35">
      <c r="A635" t="s">
        <v>1427</v>
      </c>
      <c r="B635" s="13">
        <v>44803</v>
      </c>
      <c r="C635" t="s">
        <v>1428</v>
      </c>
      <c r="D635" t="s">
        <v>3</v>
      </c>
      <c r="E635" t="s">
        <v>61</v>
      </c>
      <c r="F635" t="s">
        <v>271</v>
      </c>
      <c r="G635" t="s">
        <v>124</v>
      </c>
      <c r="H635" t="s">
        <v>125</v>
      </c>
      <c r="I635">
        <v>5</v>
      </c>
      <c r="J635" s="1">
        <v>13503.49</v>
      </c>
      <c r="K635">
        <v>7.0000000000000007E-2</v>
      </c>
      <c r="L635" s="1">
        <v>73166.710000000006</v>
      </c>
      <c r="M635" s="1">
        <v>10338.379999999999</v>
      </c>
      <c r="N635" s="1">
        <v>81.11</v>
      </c>
      <c r="O635" t="s">
        <v>8</v>
      </c>
      <c r="P635">
        <v>3</v>
      </c>
      <c r="Q635" t="b">
        <v>0</v>
      </c>
      <c r="R635" t="s">
        <v>18</v>
      </c>
      <c r="S635">
        <v>9</v>
      </c>
      <c r="T635" t="e">
        <f>IF(#REF!&lt;=25, "Young Age", IF(#REF!&lt;=40, "Mid Age", "Old Age"))</f>
        <v>#REF!</v>
      </c>
      <c r="U635" t="str">
        <f t="shared" si="9"/>
        <v>Over Delayed</v>
      </c>
    </row>
    <row r="636" spans="1:21" x14ac:dyDescent="0.35">
      <c r="A636" t="s">
        <v>1429</v>
      </c>
      <c r="B636" s="13">
        <v>43842</v>
      </c>
      <c r="C636" t="s">
        <v>1430</v>
      </c>
      <c r="D636" t="s">
        <v>13</v>
      </c>
      <c r="E636" t="s">
        <v>14</v>
      </c>
      <c r="F636" t="s">
        <v>15</v>
      </c>
      <c r="G636" t="s">
        <v>23</v>
      </c>
      <c r="H636" t="s">
        <v>29</v>
      </c>
      <c r="I636">
        <v>9</v>
      </c>
      <c r="J636" s="1">
        <v>5472.53</v>
      </c>
      <c r="K636">
        <v>0.02</v>
      </c>
      <c r="L636" s="1">
        <v>34892.589999999997</v>
      </c>
      <c r="M636" s="1">
        <v>10855.26</v>
      </c>
      <c r="N636" s="1">
        <v>69.37</v>
      </c>
      <c r="O636" t="s">
        <v>36</v>
      </c>
      <c r="P636">
        <v>2</v>
      </c>
      <c r="Q636" t="b">
        <v>0</v>
      </c>
      <c r="R636" t="s">
        <v>18</v>
      </c>
      <c r="S636">
        <v>3</v>
      </c>
      <c r="T636" t="e">
        <f>IF(#REF!&lt;=25, "Young Age", IF(#REF!&lt;=40, "Mid Age", "Old Age"))</f>
        <v>#REF!</v>
      </c>
      <c r="U636" t="str">
        <f t="shared" si="9"/>
        <v>Okay</v>
      </c>
    </row>
    <row r="637" spans="1:21" x14ac:dyDescent="0.35">
      <c r="A637" t="s">
        <v>1431</v>
      </c>
      <c r="B637" s="13">
        <v>44999</v>
      </c>
      <c r="C637" t="s">
        <v>1432</v>
      </c>
      <c r="D637" t="s">
        <v>47</v>
      </c>
      <c r="E637" t="s">
        <v>53</v>
      </c>
      <c r="F637" t="s">
        <v>170</v>
      </c>
      <c r="G637" t="s">
        <v>55</v>
      </c>
      <c r="H637" t="s">
        <v>91</v>
      </c>
      <c r="I637">
        <v>9</v>
      </c>
      <c r="J637" s="1">
        <v>3251.19</v>
      </c>
      <c r="K637">
        <v>0.13</v>
      </c>
      <c r="L637" s="1">
        <v>25267.42</v>
      </c>
      <c r="M637" s="1">
        <v>8081.15</v>
      </c>
      <c r="N637" s="1">
        <v>70.98</v>
      </c>
      <c r="O637" t="s">
        <v>8</v>
      </c>
      <c r="P637">
        <v>2</v>
      </c>
      <c r="Q637" t="b">
        <v>1</v>
      </c>
      <c r="R637" t="s">
        <v>9</v>
      </c>
      <c r="S637">
        <v>9</v>
      </c>
      <c r="T637" t="e">
        <f>IF(#REF!&lt;=25, "Young Age", IF(#REF!&lt;=40, "Mid Age", "Old Age"))</f>
        <v>#REF!</v>
      </c>
      <c r="U637" t="str">
        <f t="shared" si="9"/>
        <v>Over Delayed</v>
      </c>
    </row>
    <row r="638" spans="1:21" x14ac:dyDescent="0.35">
      <c r="A638" t="s">
        <v>1433</v>
      </c>
      <c r="B638" s="13">
        <v>45239</v>
      </c>
      <c r="C638" t="s">
        <v>1434</v>
      </c>
      <c r="D638" t="s">
        <v>47</v>
      </c>
      <c r="E638" t="s">
        <v>4</v>
      </c>
      <c r="F638" t="s">
        <v>48</v>
      </c>
      <c r="G638" t="s">
        <v>16</v>
      </c>
      <c r="H638" t="s">
        <v>160</v>
      </c>
      <c r="I638">
        <v>4</v>
      </c>
      <c r="J638" s="1">
        <v>1738.78</v>
      </c>
      <c r="K638">
        <v>7.0000000000000007E-2</v>
      </c>
      <c r="L638" s="1">
        <v>5920.27</v>
      </c>
      <c r="M638" s="1">
        <v>1693.39</v>
      </c>
      <c r="N638" s="1">
        <v>61.38</v>
      </c>
      <c r="O638" t="s">
        <v>36</v>
      </c>
      <c r="P638">
        <v>1</v>
      </c>
      <c r="Q638" t="b">
        <v>1</v>
      </c>
      <c r="R638" t="s">
        <v>9</v>
      </c>
      <c r="S638">
        <v>2</v>
      </c>
      <c r="T638" t="e">
        <f>IF(#REF!&lt;=25, "Young Age", IF(#REF!&lt;=40, "Mid Age", "Old Age"))</f>
        <v>#REF!</v>
      </c>
      <c r="U638" t="str">
        <f t="shared" si="9"/>
        <v>Okay</v>
      </c>
    </row>
    <row r="639" spans="1:21" x14ac:dyDescent="0.35">
      <c r="A639" t="s">
        <v>1435</v>
      </c>
      <c r="B639" s="13">
        <v>44110</v>
      </c>
      <c r="C639" t="s">
        <v>1436</v>
      </c>
      <c r="D639" t="s">
        <v>13</v>
      </c>
      <c r="E639" t="s">
        <v>61</v>
      </c>
      <c r="F639" t="s">
        <v>271</v>
      </c>
      <c r="G639" t="s">
        <v>105</v>
      </c>
      <c r="H639" t="s">
        <v>282</v>
      </c>
      <c r="I639">
        <v>8</v>
      </c>
      <c r="J639" s="1">
        <v>67654.44</v>
      </c>
      <c r="K639">
        <v>0.02</v>
      </c>
      <c r="L639" s="1">
        <v>436216.85</v>
      </c>
      <c r="M639" s="1">
        <v>54905.07</v>
      </c>
      <c r="N639" s="1">
        <v>62.12</v>
      </c>
      <c r="O639" t="s">
        <v>30</v>
      </c>
      <c r="P639">
        <v>2</v>
      </c>
      <c r="Q639" t="b">
        <v>0</v>
      </c>
      <c r="R639" t="s">
        <v>37</v>
      </c>
      <c r="S639">
        <v>6</v>
      </c>
      <c r="T639" t="e">
        <f>IF(#REF!&lt;=25, "Young Age", IF(#REF!&lt;=40, "Mid Age", "Old Age"))</f>
        <v>#REF!</v>
      </c>
      <c r="U639" t="str">
        <f t="shared" si="9"/>
        <v>Delayed</v>
      </c>
    </row>
    <row r="640" spans="1:21" x14ac:dyDescent="0.35">
      <c r="A640" t="s">
        <v>1437</v>
      </c>
      <c r="B640" s="13">
        <v>45050</v>
      </c>
      <c r="C640" t="s">
        <v>1438</v>
      </c>
      <c r="D640" t="s">
        <v>13</v>
      </c>
      <c r="E640" t="s">
        <v>61</v>
      </c>
      <c r="F640" t="s">
        <v>222</v>
      </c>
      <c r="G640" t="s">
        <v>55</v>
      </c>
      <c r="H640" t="s">
        <v>185</v>
      </c>
      <c r="I640">
        <v>3</v>
      </c>
      <c r="J640" s="1">
        <v>3314.75</v>
      </c>
      <c r="K640">
        <v>0.06</v>
      </c>
      <c r="L640" s="1">
        <v>15452.12</v>
      </c>
      <c r="M640" s="1">
        <v>3519.97</v>
      </c>
      <c r="N640" s="1">
        <v>85.4</v>
      </c>
      <c r="O640" t="s">
        <v>8</v>
      </c>
      <c r="P640">
        <v>2</v>
      </c>
      <c r="Q640" t="b">
        <v>0</v>
      </c>
      <c r="R640" t="s">
        <v>18</v>
      </c>
      <c r="S640">
        <v>8</v>
      </c>
      <c r="T640" t="e">
        <f>IF(#REF!&lt;=25, "Young Age", IF(#REF!&lt;=40, "Mid Age", "Old Age"))</f>
        <v>#REF!</v>
      </c>
      <c r="U640" t="str">
        <f t="shared" si="9"/>
        <v>Over Delayed</v>
      </c>
    </row>
    <row r="641" spans="1:21" x14ac:dyDescent="0.35">
      <c r="A641" t="s">
        <v>1439</v>
      </c>
      <c r="B641" s="13">
        <v>44790</v>
      </c>
      <c r="C641" t="s">
        <v>1440</v>
      </c>
      <c r="D641" t="s">
        <v>13</v>
      </c>
      <c r="E641" t="s">
        <v>14</v>
      </c>
      <c r="F641" t="s">
        <v>22</v>
      </c>
      <c r="G641" t="s">
        <v>105</v>
      </c>
      <c r="H641" t="s">
        <v>120</v>
      </c>
      <c r="I641">
        <v>4</v>
      </c>
      <c r="J641" s="1">
        <v>67647.58</v>
      </c>
      <c r="K641">
        <v>7.0000000000000007E-2</v>
      </c>
      <c r="L641" s="1">
        <v>353527.87</v>
      </c>
      <c r="M641" s="1">
        <v>36275.65</v>
      </c>
      <c r="N641" s="1">
        <v>52.43</v>
      </c>
      <c r="O641" t="s">
        <v>30</v>
      </c>
      <c r="P641">
        <v>2</v>
      </c>
      <c r="Q641" t="b">
        <v>0</v>
      </c>
      <c r="R641" t="s">
        <v>18</v>
      </c>
      <c r="S641">
        <v>8</v>
      </c>
      <c r="T641" t="e">
        <f>IF(#REF!&lt;=25, "Young Age", IF(#REF!&lt;=40, "Mid Age", "Old Age"))</f>
        <v>#REF!</v>
      </c>
      <c r="U641" t="str">
        <f t="shared" si="9"/>
        <v>Over Delayed</v>
      </c>
    </row>
    <row r="642" spans="1:21" x14ac:dyDescent="0.35">
      <c r="A642" t="s">
        <v>1441</v>
      </c>
      <c r="B642" s="13">
        <v>43922</v>
      </c>
      <c r="C642" t="s">
        <v>1442</v>
      </c>
      <c r="D642" t="s">
        <v>3</v>
      </c>
      <c r="E642" t="s">
        <v>53</v>
      </c>
      <c r="F642" t="s">
        <v>170</v>
      </c>
      <c r="G642" t="s">
        <v>41</v>
      </c>
      <c r="H642" t="s">
        <v>244</v>
      </c>
      <c r="I642">
        <v>2</v>
      </c>
      <c r="J642" s="1">
        <v>630.66</v>
      </c>
      <c r="K642">
        <v>0.15</v>
      </c>
      <c r="L642" s="1">
        <v>1278.54</v>
      </c>
      <c r="M642" s="1">
        <v>414.77</v>
      </c>
      <c r="N642" s="1">
        <v>75.819999999999993</v>
      </c>
      <c r="O642" t="s">
        <v>43</v>
      </c>
      <c r="P642" t="s">
        <v>2149</v>
      </c>
      <c r="Q642" t="b">
        <v>0</v>
      </c>
      <c r="R642" t="s">
        <v>175</v>
      </c>
      <c r="S642">
        <v>6</v>
      </c>
      <c r="T642" t="e">
        <f>IF(#REF!&lt;=25, "Young Age", IF(#REF!&lt;=40, "Mid Age", "Old Age"))</f>
        <v>#REF!</v>
      </c>
      <c r="U642" t="str">
        <f t="shared" ref="U642:U705" si="10">IF(S642 &lt;=4, "Okay", IF(S642 &lt;=7, "Delayed", "Over Delayed"))</f>
        <v>Delayed</v>
      </c>
    </row>
    <row r="643" spans="1:21" x14ac:dyDescent="0.35">
      <c r="A643" t="s">
        <v>1443</v>
      </c>
      <c r="B643" s="13">
        <v>45042</v>
      </c>
      <c r="C643" t="s">
        <v>1444</v>
      </c>
      <c r="D643" t="s">
        <v>13</v>
      </c>
      <c r="E643" t="s">
        <v>14</v>
      </c>
      <c r="F643" t="s">
        <v>15</v>
      </c>
      <c r="G643" t="s">
        <v>16</v>
      </c>
      <c r="H643" t="s">
        <v>557</v>
      </c>
      <c r="I643">
        <v>8</v>
      </c>
      <c r="J643" s="1">
        <v>566.96</v>
      </c>
      <c r="K643">
        <v>0.36</v>
      </c>
      <c r="L643" s="1">
        <v>4268.95</v>
      </c>
      <c r="M643" s="1">
        <v>2029.92</v>
      </c>
      <c r="N643" s="1">
        <v>60.59</v>
      </c>
      <c r="O643" t="s">
        <v>8</v>
      </c>
      <c r="P643">
        <v>3</v>
      </c>
      <c r="Q643" t="b">
        <v>0</v>
      </c>
      <c r="R643" t="s">
        <v>18</v>
      </c>
      <c r="S643">
        <v>5</v>
      </c>
      <c r="T643" t="e">
        <f>IF(#REF!&lt;=25, "Young Age", IF(#REF!&lt;=40, "Mid Age", "Old Age"))</f>
        <v>#REF!</v>
      </c>
      <c r="U643" t="str">
        <f t="shared" si="10"/>
        <v>Delayed</v>
      </c>
    </row>
    <row r="644" spans="1:21" x14ac:dyDescent="0.35">
      <c r="A644" t="s">
        <v>1445</v>
      </c>
      <c r="B644" s="13">
        <v>44076</v>
      </c>
      <c r="C644" t="s">
        <v>1446</v>
      </c>
      <c r="D644" t="s">
        <v>13</v>
      </c>
      <c r="E644" t="s">
        <v>14</v>
      </c>
      <c r="F644" t="s">
        <v>15</v>
      </c>
      <c r="G644" t="s">
        <v>16</v>
      </c>
      <c r="H644" t="s">
        <v>209</v>
      </c>
      <c r="I644">
        <v>2</v>
      </c>
      <c r="J644" s="1">
        <v>2054.29</v>
      </c>
      <c r="K644">
        <v>0.27</v>
      </c>
      <c r="L644" s="1">
        <v>2751.04</v>
      </c>
      <c r="M644" s="1">
        <v>1143.8599999999999</v>
      </c>
      <c r="N644" s="1">
        <v>51.63</v>
      </c>
      <c r="O644" t="s">
        <v>49</v>
      </c>
      <c r="P644">
        <v>2</v>
      </c>
      <c r="Q644" t="b">
        <v>0</v>
      </c>
      <c r="R644" t="s">
        <v>63</v>
      </c>
      <c r="S644">
        <v>10</v>
      </c>
      <c r="T644" t="e">
        <f>IF(#REF!&lt;=25, "Young Age", IF(#REF!&lt;=40, "Mid Age", "Old Age"))</f>
        <v>#REF!</v>
      </c>
      <c r="U644" t="str">
        <f t="shared" si="10"/>
        <v>Over Delayed</v>
      </c>
    </row>
    <row r="645" spans="1:21" x14ac:dyDescent="0.35">
      <c r="A645" t="s">
        <v>1447</v>
      </c>
      <c r="B645" s="13">
        <v>44857</v>
      </c>
      <c r="C645" t="s">
        <v>1448</v>
      </c>
      <c r="D645" t="s">
        <v>13</v>
      </c>
      <c r="E645" t="s">
        <v>14</v>
      </c>
      <c r="F645" t="s">
        <v>22</v>
      </c>
      <c r="G645" t="s">
        <v>105</v>
      </c>
      <c r="H645" t="s">
        <v>438</v>
      </c>
      <c r="I645">
        <v>6</v>
      </c>
      <c r="J645" s="1">
        <v>79286.42</v>
      </c>
      <c r="K645">
        <v>0.37</v>
      </c>
      <c r="L645" s="1">
        <v>281133.53999999998</v>
      </c>
      <c r="M645" s="1">
        <v>33087.68</v>
      </c>
      <c r="N645" s="1">
        <v>61.66</v>
      </c>
      <c r="O645" t="s">
        <v>8</v>
      </c>
      <c r="P645" t="s">
        <v>2149</v>
      </c>
      <c r="Q645" t="b">
        <v>0</v>
      </c>
      <c r="R645" t="s">
        <v>18</v>
      </c>
      <c r="S645">
        <v>8</v>
      </c>
      <c r="T645" t="e">
        <f>IF(#REF!&lt;=25, "Young Age", IF(#REF!&lt;=40, "Mid Age", "Old Age"))</f>
        <v>#REF!</v>
      </c>
      <c r="U645" t="str">
        <f t="shared" si="10"/>
        <v>Over Delayed</v>
      </c>
    </row>
    <row r="646" spans="1:21" x14ac:dyDescent="0.35">
      <c r="A646" t="s">
        <v>1449</v>
      </c>
      <c r="B646" s="13">
        <v>44346</v>
      </c>
      <c r="C646" t="s">
        <v>1450</v>
      </c>
      <c r="D646" t="s">
        <v>3</v>
      </c>
      <c r="E646" t="s">
        <v>89</v>
      </c>
      <c r="F646" t="s">
        <v>299</v>
      </c>
      <c r="G646" t="s">
        <v>55</v>
      </c>
      <c r="H646" t="s">
        <v>185</v>
      </c>
      <c r="I646">
        <v>6</v>
      </c>
      <c r="J646" s="1">
        <v>3055.06</v>
      </c>
      <c r="K646">
        <v>0</v>
      </c>
      <c r="L646" s="1">
        <v>23548.92</v>
      </c>
      <c r="M646" s="1">
        <v>8925.17</v>
      </c>
      <c r="N646" s="1">
        <v>69.22</v>
      </c>
      <c r="O646" t="s">
        <v>30</v>
      </c>
      <c r="P646" t="s">
        <v>2149</v>
      </c>
      <c r="Q646" t="b">
        <v>0</v>
      </c>
      <c r="R646" t="s">
        <v>18</v>
      </c>
      <c r="S646">
        <v>4</v>
      </c>
      <c r="T646" t="e">
        <f>IF(#REF!&lt;=25, "Young Age", IF(#REF!&lt;=40, "Mid Age", "Old Age"))</f>
        <v>#REF!</v>
      </c>
      <c r="U646" t="str">
        <f t="shared" si="10"/>
        <v>Okay</v>
      </c>
    </row>
    <row r="647" spans="1:21" x14ac:dyDescent="0.35">
      <c r="A647" t="s">
        <v>940</v>
      </c>
      <c r="B647" s="13">
        <v>44081</v>
      </c>
      <c r="C647" t="s">
        <v>941</v>
      </c>
      <c r="D647" t="s">
        <v>47</v>
      </c>
      <c r="E647" t="s">
        <v>89</v>
      </c>
      <c r="F647" t="s">
        <v>99</v>
      </c>
      <c r="G647" t="s">
        <v>41</v>
      </c>
      <c r="H647" t="s">
        <v>85</v>
      </c>
      <c r="I647">
        <v>6</v>
      </c>
      <c r="J647" s="1">
        <v>1105.96</v>
      </c>
      <c r="K647">
        <v>0.28999999999999998</v>
      </c>
      <c r="L647" s="1">
        <v>5241.79</v>
      </c>
      <c r="M647" s="1">
        <v>1716.01</v>
      </c>
      <c r="N647" s="1">
        <v>67.650000000000006</v>
      </c>
      <c r="O647" t="s">
        <v>8</v>
      </c>
      <c r="P647">
        <v>3</v>
      </c>
      <c r="Q647" t="b">
        <v>1</v>
      </c>
      <c r="R647" t="s">
        <v>9</v>
      </c>
      <c r="S647" t="s">
        <v>2149</v>
      </c>
      <c r="T647" t="e">
        <f>IF(#REF!&lt;=25, "Young Age", IF(#REF!&lt;=40, "Mid Age", "Old Age"))</f>
        <v>#REF!</v>
      </c>
      <c r="U647" t="str">
        <f t="shared" si="10"/>
        <v>Over Delayed</v>
      </c>
    </row>
    <row r="648" spans="1:21" x14ac:dyDescent="0.35">
      <c r="A648" t="s">
        <v>1451</v>
      </c>
      <c r="B648" s="13">
        <v>45476</v>
      </c>
      <c r="C648" t="s">
        <v>1452</v>
      </c>
      <c r="D648" t="s">
        <v>13</v>
      </c>
      <c r="E648" t="s">
        <v>4</v>
      </c>
      <c r="F648" t="s">
        <v>5</v>
      </c>
      <c r="G648" t="s">
        <v>6</v>
      </c>
      <c r="H648" t="s">
        <v>374</v>
      </c>
      <c r="I648">
        <v>9</v>
      </c>
      <c r="J648" s="1">
        <v>276.93</v>
      </c>
      <c r="K648">
        <v>0.27</v>
      </c>
      <c r="L648" s="1">
        <v>3183.79</v>
      </c>
      <c r="M648" s="1">
        <v>275.45999999999998</v>
      </c>
      <c r="N648" s="1">
        <v>47.94</v>
      </c>
      <c r="O648" t="s">
        <v>57</v>
      </c>
      <c r="P648" t="s">
        <v>2149</v>
      </c>
      <c r="Q648" t="b">
        <v>0</v>
      </c>
      <c r="R648" t="s">
        <v>18</v>
      </c>
      <c r="S648">
        <v>6</v>
      </c>
      <c r="T648" t="e">
        <f>IF(#REF!&lt;=25, "Young Age", IF(#REF!&lt;=40, "Mid Age", "Old Age"))</f>
        <v>#REF!</v>
      </c>
      <c r="U648" t="str">
        <f t="shared" si="10"/>
        <v>Delayed</v>
      </c>
    </row>
    <row r="649" spans="1:21" x14ac:dyDescent="0.35">
      <c r="A649" t="s">
        <v>1453</v>
      </c>
      <c r="B649" s="13">
        <v>43868</v>
      </c>
      <c r="C649" t="s">
        <v>1454</v>
      </c>
      <c r="D649" t="s">
        <v>3</v>
      </c>
      <c r="E649" t="s">
        <v>89</v>
      </c>
      <c r="F649" t="s">
        <v>90</v>
      </c>
      <c r="G649" t="s">
        <v>16</v>
      </c>
      <c r="H649" t="s">
        <v>160</v>
      </c>
      <c r="I649">
        <v>1</v>
      </c>
      <c r="J649" s="1">
        <v>918.65</v>
      </c>
      <c r="K649">
        <v>0.09</v>
      </c>
      <c r="L649" s="1">
        <v>643.64</v>
      </c>
      <c r="M649" s="1">
        <v>333.85</v>
      </c>
      <c r="N649" s="1">
        <v>73.92</v>
      </c>
      <c r="O649" t="s">
        <v>49</v>
      </c>
      <c r="P649">
        <v>3</v>
      </c>
      <c r="Q649" t="b">
        <v>0</v>
      </c>
      <c r="R649" t="s">
        <v>115</v>
      </c>
      <c r="S649">
        <v>10</v>
      </c>
      <c r="T649" t="e">
        <f>IF(#REF!&lt;=25, "Young Age", IF(#REF!&lt;=40, "Mid Age", "Old Age"))</f>
        <v>#REF!</v>
      </c>
      <c r="U649" t="str">
        <f t="shared" si="10"/>
        <v>Over Delayed</v>
      </c>
    </row>
    <row r="650" spans="1:21" x14ac:dyDescent="0.35">
      <c r="A650" t="s">
        <v>1455</v>
      </c>
      <c r="B650" s="13">
        <v>45172</v>
      </c>
      <c r="C650" t="s">
        <v>1456</v>
      </c>
      <c r="D650" t="s">
        <v>13</v>
      </c>
      <c r="E650" t="s">
        <v>4</v>
      </c>
      <c r="F650" t="s">
        <v>5</v>
      </c>
      <c r="G650" t="s">
        <v>23</v>
      </c>
      <c r="H650" t="s">
        <v>29</v>
      </c>
      <c r="I650">
        <v>1</v>
      </c>
      <c r="J650" s="1">
        <v>11522.93</v>
      </c>
      <c r="K650">
        <v>0.02</v>
      </c>
      <c r="L650" s="1">
        <v>10840.71</v>
      </c>
      <c r="M650" s="1">
        <v>3173.42</v>
      </c>
      <c r="N650" s="1">
        <v>65.430000000000007</v>
      </c>
      <c r="O650" t="s">
        <v>57</v>
      </c>
      <c r="P650">
        <v>5</v>
      </c>
      <c r="Q650" t="b">
        <v>0</v>
      </c>
      <c r="R650" t="s">
        <v>18</v>
      </c>
      <c r="S650">
        <v>5</v>
      </c>
      <c r="T650" t="e">
        <f>IF(#REF!&lt;=25, "Young Age", IF(#REF!&lt;=40, "Mid Age", "Old Age"))</f>
        <v>#REF!</v>
      </c>
      <c r="U650" t="str">
        <f t="shared" si="10"/>
        <v>Delayed</v>
      </c>
    </row>
    <row r="651" spans="1:21" x14ac:dyDescent="0.35">
      <c r="A651" t="s">
        <v>1457</v>
      </c>
      <c r="B651" s="13">
        <v>45416</v>
      </c>
      <c r="C651" t="s">
        <v>1458</v>
      </c>
      <c r="D651" t="s">
        <v>13</v>
      </c>
      <c r="E651" t="s">
        <v>14</v>
      </c>
      <c r="F651" t="s">
        <v>28</v>
      </c>
      <c r="G651" t="s">
        <v>105</v>
      </c>
      <c r="H651" t="s">
        <v>106</v>
      </c>
      <c r="I651">
        <v>2</v>
      </c>
      <c r="J651" s="1">
        <v>32171.040000000001</v>
      </c>
      <c r="K651">
        <v>0.1</v>
      </c>
      <c r="L651" s="1">
        <v>95994.28</v>
      </c>
      <c r="M651" s="1">
        <v>9495.02</v>
      </c>
      <c r="N651" s="1">
        <v>70.88</v>
      </c>
      <c r="O651" t="s">
        <v>8</v>
      </c>
      <c r="P651">
        <v>3</v>
      </c>
      <c r="Q651" t="b">
        <v>1</v>
      </c>
      <c r="R651" t="s">
        <v>9</v>
      </c>
      <c r="S651">
        <v>7</v>
      </c>
      <c r="T651" t="e">
        <f>IF(#REF!&lt;=25, "Young Age", IF(#REF!&lt;=40, "Mid Age", "Old Age"))</f>
        <v>#REF!</v>
      </c>
      <c r="U651" t="str">
        <f t="shared" si="10"/>
        <v>Delayed</v>
      </c>
    </row>
    <row r="652" spans="1:21" x14ac:dyDescent="0.35">
      <c r="A652" t="s">
        <v>1459</v>
      </c>
      <c r="B652" s="13">
        <v>44847</v>
      </c>
      <c r="C652" t="s">
        <v>1460</v>
      </c>
      <c r="D652" t="s">
        <v>3</v>
      </c>
      <c r="E652" t="s">
        <v>4</v>
      </c>
      <c r="F652" t="s">
        <v>34</v>
      </c>
      <c r="G652" t="s">
        <v>105</v>
      </c>
      <c r="H652" t="s">
        <v>149</v>
      </c>
      <c r="I652">
        <v>7</v>
      </c>
      <c r="J652" s="1">
        <v>16843.150000000001</v>
      </c>
      <c r="K652">
        <v>0.36</v>
      </c>
      <c r="L652" s="1">
        <v>63975.839999999997</v>
      </c>
      <c r="M652" s="1">
        <v>8190.65</v>
      </c>
      <c r="N652" s="1">
        <v>81.28</v>
      </c>
      <c r="O652" t="s">
        <v>43</v>
      </c>
      <c r="P652">
        <v>3</v>
      </c>
      <c r="Q652" t="b">
        <v>0</v>
      </c>
      <c r="R652" t="s">
        <v>18</v>
      </c>
      <c r="S652">
        <v>3</v>
      </c>
      <c r="T652" t="e">
        <f>IF(#REF!&lt;=25, "Young Age", IF(#REF!&lt;=40, "Mid Age", "Old Age"))</f>
        <v>#REF!</v>
      </c>
      <c r="U652" t="str">
        <f t="shared" si="10"/>
        <v>Okay</v>
      </c>
    </row>
    <row r="653" spans="1:21" x14ac:dyDescent="0.35">
      <c r="A653" t="s">
        <v>1461</v>
      </c>
      <c r="B653" s="13">
        <v>45107</v>
      </c>
      <c r="C653" t="s">
        <v>1462</v>
      </c>
      <c r="D653" t="s">
        <v>3</v>
      </c>
      <c r="E653" t="s">
        <v>53</v>
      </c>
      <c r="F653" t="s">
        <v>54</v>
      </c>
      <c r="G653" t="s">
        <v>124</v>
      </c>
      <c r="H653" t="s">
        <v>125</v>
      </c>
      <c r="I653">
        <v>7</v>
      </c>
      <c r="J653" s="1">
        <v>4046</v>
      </c>
      <c r="K653">
        <v>0.11</v>
      </c>
      <c r="L653" s="1">
        <v>44053.34</v>
      </c>
      <c r="M653" s="1">
        <v>9372.6299999999992</v>
      </c>
      <c r="N653" s="1">
        <v>42.33</v>
      </c>
      <c r="O653" t="s">
        <v>8</v>
      </c>
      <c r="P653">
        <v>2</v>
      </c>
      <c r="Q653" t="b">
        <v>0</v>
      </c>
      <c r="R653" t="s">
        <v>18</v>
      </c>
      <c r="S653">
        <v>6</v>
      </c>
      <c r="T653" t="e">
        <f>IF(#REF!&lt;=25, "Young Age", IF(#REF!&lt;=40, "Mid Age", "Old Age"))</f>
        <v>#REF!</v>
      </c>
      <c r="U653" t="str">
        <f t="shared" si="10"/>
        <v>Delayed</v>
      </c>
    </row>
    <row r="654" spans="1:21" x14ac:dyDescent="0.35">
      <c r="A654" t="s">
        <v>1463</v>
      </c>
      <c r="B654" s="13">
        <v>45163</v>
      </c>
      <c r="C654" t="s">
        <v>1464</v>
      </c>
      <c r="D654" t="s">
        <v>3</v>
      </c>
      <c r="E654" t="s">
        <v>53</v>
      </c>
      <c r="F654" t="s">
        <v>79</v>
      </c>
      <c r="G654" t="s">
        <v>41</v>
      </c>
      <c r="H654" t="s">
        <v>244</v>
      </c>
      <c r="I654">
        <v>10</v>
      </c>
      <c r="J654" s="1">
        <v>260.93</v>
      </c>
      <c r="K654">
        <v>0.13</v>
      </c>
      <c r="L654" s="1">
        <v>3566.39</v>
      </c>
      <c r="M654" s="1">
        <v>1435.04</v>
      </c>
      <c r="N654" s="1">
        <v>28.36</v>
      </c>
      <c r="O654" t="s">
        <v>43</v>
      </c>
      <c r="P654">
        <v>3</v>
      </c>
      <c r="Q654" t="b">
        <v>0</v>
      </c>
      <c r="R654" t="s">
        <v>18</v>
      </c>
      <c r="S654">
        <v>1</v>
      </c>
      <c r="T654" t="e">
        <f>IF(#REF!&lt;=25, "Young Age", IF(#REF!&lt;=40, "Mid Age", "Old Age"))</f>
        <v>#REF!</v>
      </c>
      <c r="U654" t="str">
        <f t="shared" si="10"/>
        <v>Okay</v>
      </c>
    </row>
    <row r="655" spans="1:21" x14ac:dyDescent="0.35">
      <c r="A655" t="s">
        <v>1465</v>
      </c>
      <c r="B655" s="13">
        <v>45476</v>
      </c>
      <c r="C655" t="s">
        <v>1466</v>
      </c>
      <c r="D655" t="s">
        <v>13</v>
      </c>
      <c r="E655" t="s">
        <v>89</v>
      </c>
      <c r="F655" t="s">
        <v>90</v>
      </c>
      <c r="G655" t="s">
        <v>124</v>
      </c>
      <c r="H655" t="s">
        <v>195</v>
      </c>
      <c r="I655">
        <v>5</v>
      </c>
      <c r="J655" s="1">
        <v>4630.1400000000003</v>
      </c>
      <c r="K655">
        <v>0.28999999999999998</v>
      </c>
      <c r="L655" s="1">
        <v>28327.7</v>
      </c>
      <c r="M655" s="1">
        <v>3969.38</v>
      </c>
      <c r="N655" s="1">
        <v>82.73</v>
      </c>
      <c r="O655" t="s">
        <v>8</v>
      </c>
      <c r="P655" t="s">
        <v>2149</v>
      </c>
      <c r="Q655" t="b">
        <v>0</v>
      </c>
      <c r="R655" t="s">
        <v>18</v>
      </c>
      <c r="S655">
        <v>5</v>
      </c>
      <c r="T655" t="e">
        <f>IF(#REF!&lt;=25, "Young Age", IF(#REF!&lt;=40, "Mid Age", "Old Age"))</f>
        <v>#REF!</v>
      </c>
      <c r="U655" t="str">
        <f t="shared" si="10"/>
        <v>Delayed</v>
      </c>
    </row>
    <row r="656" spans="1:21" x14ac:dyDescent="0.35">
      <c r="A656" t="s">
        <v>1467</v>
      </c>
      <c r="B656" s="13">
        <v>43873</v>
      </c>
      <c r="C656" t="s">
        <v>1468</v>
      </c>
      <c r="D656" t="s">
        <v>13</v>
      </c>
      <c r="E656" t="s">
        <v>61</v>
      </c>
      <c r="F656" t="s">
        <v>62</v>
      </c>
      <c r="G656" t="s">
        <v>124</v>
      </c>
      <c r="H656" t="s">
        <v>195</v>
      </c>
      <c r="I656">
        <v>4</v>
      </c>
      <c r="J656" s="1">
        <v>5949.42</v>
      </c>
      <c r="K656">
        <v>0.34</v>
      </c>
      <c r="L656" s="1">
        <v>11315.53</v>
      </c>
      <c r="M656" s="1">
        <v>2670.63</v>
      </c>
      <c r="N656" s="1">
        <v>82.54</v>
      </c>
      <c r="O656" t="s">
        <v>30</v>
      </c>
      <c r="P656">
        <v>5</v>
      </c>
      <c r="Q656" t="b">
        <v>0</v>
      </c>
      <c r="R656" t="s">
        <v>18</v>
      </c>
      <c r="S656">
        <v>4</v>
      </c>
      <c r="T656" t="e">
        <f>IF(#REF!&lt;=25, "Young Age", IF(#REF!&lt;=40, "Mid Age", "Old Age"))</f>
        <v>#REF!</v>
      </c>
      <c r="U656" t="str">
        <f t="shared" si="10"/>
        <v>Okay</v>
      </c>
    </row>
    <row r="657" spans="1:21" x14ac:dyDescent="0.35">
      <c r="A657" t="s">
        <v>1469</v>
      </c>
      <c r="B657" s="13">
        <v>44958</v>
      </c>
      <c r="C657" t="s">
        <v>1470</v>
      </c>
      <c r="D657" t="s">
        <v>13</v>
      </c>
      <c r="E657" t="s">
        <v>4</v>
      </c>
      <c r="F657" t="s">
        <v>5</v>
      </c>
      <c r="G657" t="s">
        <v>16</v>
      </c>
      <c r="H657" t="s">
        <v>557</v>
      </c>
      <c r="I657">
        <v>3</v>
      </c>
      <c r="J657" s="1">
        <v>2052.63</v>
      </c>
      <c r="K657">
        <v>0.2</v>
      </c>
      <c r="L657" s="1">
        <v>5621.99</v>
      </c>
      <c r="M657" s="1">
        <v>2360.34</v>
      </c>
      <c r="N657" s="1">
        <v>38.92</v>
      </c>
      <c r="O657" t="s">
        <v>43</v>
      </c>
      <c r="P657">
        <v>5</v>
      </c>
      <c r="Q657" t="b">
        <v>0</v>
      </c>
      <c r="R657" t="s">
        <v>18</v>
      </c>
      <c r="S657">
        <v>8</v>
      </c>
      <c r="T657" t="e">
        <f>IF(#REF!&lt;=25, "Young Age", IF(#REF!&lt;=40, "Mid Age", "Old Age"))</f>
        <v>#REF!</v>
      </c>
      <c r="U657" t="str">
        <f t="shared" si="10"/>
        <v>Over Delayed</v>
      </c>
    </row>
    <row r="658" spans="1:21" x14ac:dyDescent="0.35">
      <c r="A658" t="s">
        <v>1471</v>
      </c>
      <c r="B658" s="13">
        <v>44370</v>
      </c>
      <c r="C658" t="s">
        <v>1472</v>
      </c>
      <c r="D658" t="s">
        <v>3</v>
      </c>
      <c r="E658" t="s">
        <v>61</v>
      </c>
      <c r="F658" t="s">
        <v>104</v>
      </c>
      <c r="G658" t="s">
        <v>105</v>
      </c>
      <c r="H658" t="s">
        <v>120</v>
      </c>
      <c r="I658">
        <v>1</v>
      </c>
      <c r="J658" s="1">
        <v>40389.089999999997</v>
      </c>
      <c r="K658">
        <v>0</v>
      </c>
      <c r="L658" s="1">
        <v>51680.51</v>
      </c>
      <c r="M658" s="1">
        <v>5290.6</v>
      </c>
      <c r="N658" s="1">
        <v>91.67</v>
      </c>
      <c r="O658" t="s">
        <v>43</v>
      </c>
      <c r="P658">
        <v>5</v>
      </c>
      <c r="Q658" t="b">
        <v>0</v>
      </c>
      <c r="R658" t="s">
        <v>37</v>
      </c>
      <c r="S658">
        <v>10</v>
      </c>
      <c r="T658" t="e">
        <f>IF(#REF!&lt;=25, "Young Age", IF(#REF!&lt;=40, "Mid Age", "Old Age"))</f>
        <v>#REF!</v>
      </c>
      <c r="U658" t="str">
        <f t="shared" si="10"/>
        <v>Over Delayed</v>
      </c>
    </row>
    <row r="659" spans="1:21" x14ac:dyDescent="0.35">
      <c r="A659" t="s">
        <v>1473</v>
      </c>
      <c r="B659" s="13">
        <v>45291</v>
      </c>
      <c r="C659" t="s">
        <v>1474</v>
      </c>
      <c r="D659" t="s">
        <v>47</v>
      </c>
      <c r="E659" t="s">
        <v>89</v>
      </c>
      <c r="F659" t="s">
        <v>90</v>
      </c>
      <c r="G659" t="s">
        <v>124</v>
      </c>
      <c r="H659" t="s">
        <v>413</v>
      </c>
      <c r="I659">
        <v>3</v>
      </c>
      <c r="J659" s="1">
        <v>2123.23</v>
      </c>
      <c r="K659">
        <v>0.11</v>
      </c>
      <c r="L659" s="1">
        <v>4790.25</v>
      </c>
      <c r="M659" s="1">
        <v>1126.6600000000001</v>
      </c>
      <c r="N659" s="1">
        <v>78.63</v>
      </c>
      <c r="O659" t="s">
        <v>36</v>
      </c>
      <c r="P659">
        <v>1</v>
      </c>
      <c r="Q659" t="b">
        <v>0</v>
      </c>
      <c r="R659" t="s">
        <v>175</v>
      </c>
      <c r="S659">
        <v>10</v>
      </c>
      <c r="T659" t="e">
        <f>IF(#REF!&lt;=25, "Young Age", IF(#REF!&lt;=40, "Mid Age", "Old Age"))</f>
        <v>#REF!</v>
      </c>
      <c r="U659" t="str">
        <f t="shared" si="10"/>
        <v>Over Delayed</v>
      </c>
    </row>
    <row r="660" spans="1:21" x14ac:dyDescent="0.35">
      <c r="A660" t="s">
        <v>1475</v>
      </c>
      <c r="B660" s="13">
        <v>44642</v>
      </c>
      <c r="C660" t="s">
        <v>1476</v>
      </c>
      <c r="D660" t="s">
        <v>3</v>
      </c>
      <c r="E660" t="s">
        <v>4</v>
      </c>
      <c r="F660" t="s">
        <v>5</v>
      </c>
      <c r="G660" t="s">
        <v>16</v>
      </c>
      <c r="H660" t="s">
        <v>209</v>
      </c>
      <c r="I660">
        <v>1</v>
      </c>
      <c r="J660" s="1">
        <v>2044.93</v>
      </c>
      <c r="K660">
        <v>0.23</v>
      </c>
      <c r="L660" s="1">
        <v>1828.13</v>
      </c>
      <c r="M660" s="1">
        <v>565</v>
      </c>
      <c r="N660" s="1">
        <v>44.76</v>
      </c>
      <c r="O660" t="s">
        <v>57</v>
      </c>
      <c r="P660">
        <v>2</v>
      </c>
      <c r="Q660" t="b">
        <v>1</v>
      </c>
      <c r="R660" t="s">
        <v>9</v>
      </c>
      <c r="S660">
        <v>2</v>
      </c>
      <c r="T660" t="e">
        <f>IF(#REF!&lt;=25, "Young Age", IF(#REF!&lt;=40, "Mid Age", "Old Age"))</f>
        <v>#REF!</v>
      </c>
      <c r="U660" t="str">
        <f t="shared" si="10"/>
        <v>Okay</v>
      </c>
    </row>
    <row r="661" spans="1:21" x14ac:dyDescent="0.35">
      <c r="A661" t="s">
        <v>1477</v>
      </c>
      <c r="B661" s="13">
        <v>45502</v>
      </c>
      <c r="C661" t="s">
        <v>1478</v>
      </c>
      <c r="D661" t="s">
        <v>47</v>
      </c>
      <c r="E661" t="s">
        <v>61</v>
      </c>
      <c r="F661" t="s">
        <v>271</v>
      </c>
      <c r="G661" t="s">
        <v>16</v>
      </c>
      <c r="H661" t="s">
        <v>80</v>
      </c>
      <c r="I661">
        <v>3</v>
      </c>
      <c r="J661" s="1">
        <v>1864.31</v>
      </c>
      <c r="K661">
        <v>0</v>
      </c>
      <c r="L661" s="1">
        <v>9882.2000000000007</v>
      </c>
      <c r="M661" s="1">
        <v>4184.16</v>
      </c>
      <c r="N661" s="1">
        <v>66.81</v>
      </c>
      <c r="O661" t="s">
        <v>8</v>
      </c>
      <c r="P661">
        <v>2</v>
      </c>
      <c r="Q661" t="b">
        <v>0</v>
      </c>
      <c r="R661" t="s">
        <v>63</v>
      </c>
      <c r="S661">
        <v>5</v>
      </c>
      <c r="T661" t="e">
        <f>IF(#REF!&lt;=25, "Young Age", IF(#REF!&lt;=40, "Mid Age", "Old Age"))</f>
        <v>#REF!</v>
      </c>
      <c r="U661" t="str">
        <f t="shared" si="10"/>
        <v>Delayed</v>
      </c>
    </row>
    <row r="662" spans="1:21" x14ac:dyDescent="0.35">
      <c r="A662" t="s">
        <v>1479</v>
      </c>
      <c r="B662" s="13">
        <v>43990</v>
      </c>
      <c r="C662" t="s">
        <v>1480</v>
      </c>
      <c r="D662" t="s">
        <v>13</v>
      </c>
      <c r="E662" t="s">
        <v>61</v>
      </c>
      <c r="F662" t="s">
        <v>104</v>
      </c>
      <c r="G662" t="s">
        <v>55</v>
      </c>
      <c r="H662" t="s">
        <v>110</v>
      </c>
      <c r="I662">
        <v>9</v>
      </c>
      <c r="J662" s="1">
        <v>3409.51</v>
      </c>
      <c r="K662">
        <v>0.33</v>
      </c>
      <c r="L662" s="1">
        <v>26237.94</v>
      </c>
      <c r="M662" s="1">
        <v>12568.82</v>
      </c>
      <c r="N662" s="1">
        <v>97.18</v>
      </c>
      <c r="O662" t="s">
        <v>57</v>
      </c>
      <c r="P662" t="s">
        <v>2149</v>
      </c>
      <c r="Q662" t="b">
        <v>0</v>
      </c>
      <c r="R662" t="s">
        <v>63</v>
      </c>
      <c r="S662">
        <v>3</v>
      </c>
      <c r="T662" t="e">
        <f>IF(#REF!&lt;=25, "Young Age", IF(#REF!&lt;=40, "Mid Age", "Old Age"))</f>
        <v>#REF!</v>
      </c>
      <c r="U662" t="str">
        <f t="shared" si="10"/>
        <v>Okay</v>
      </c>
    </row>
    <row r="663" spans="1:21" x14ac:dyDescent="0.35">
      <c r="A663" t="s">
        <v>1481</v>
      </c>
      <c r="B663" s="13">
        <v>45239</v>
      </c>
      <c r="C663" t="s">
        <v>1482</v>
      </c>
      <c r="D663" t="s">
        <v>13</v>
      </c>
      <c r="E663" t="s">
        <v>89</v>
      </c>
      <c r="F663" t="s">
        <v>90</v>
      </c>
      <c r="G663" t="s">
        <v>105</v>
      </c>
      <c r="H663" t="s">
        <v>149</v>
      </c>
      <c r="I663">
        <v>4</v>
      </c>
      <c r="J663" s="1">
        <v>71997.600000000006</v>
      </c>
      <c r="K663">
        <v>0.08</v>
      </c>
      <c r="L663" s="1">
        <v>238162.29</v>
      </c>
      <c r="M663" s="1">
        <v>25389.57</v>
      </c>
      <c r="N663" s="1">
        <v>76.900000000000006</v>
      </c>
      <c r="O663" t="s">
        <v>43</v>
      </c>
      <c r="P663">
        <v>2</v>
      </c>
      <c r="Q663" t="b">
        <v>0</v>
      </c>
      <c r="R663" t="s">
        <v>18</v>
      </c>
      <c r="S663">
        <v>3</v>
      </c>
      <c r="T663" t="e">
        <f>IF(#REF!&lt;=25, "Young Age", IF(#REF!&lt;=40, "Mid Age", "Old Age"))</f>
        <v>#REF!</v>
      </c>
      <c r="U663" t="str">
        <f t="shared" si="10"/>
        <v>Okay</v>
      </c>
    </row>
    <row r="664" spans="1:21" x14ac:dyDescent="0.35">
      <c r="A664" t="s">
        <v>1483</v>
      </c>
      <c r="B664" s="13">
        <v>45278</v>
      </c>
      <c r="C664" t="s">
        <v>1484</v>
      </c>
      <c r="D664" t="s">
        <v>3</v>
      </c>
      <c r="E664" t="s">
        <v>61</v>
      </c>
      <c r="F664" t="s">
        <v>271</v>
      </c>
      <c r="G664" t="s">
        <v>105</v>
      </c>
      <c r="H664" t="s">
        <v>120</v>
      </c>
      <c r="J664" s="1">
        <v>21214.09</v>
      </c>
      <c r="K664">
        <v>0.05</v>
      </c>
      <c r="L664" s="1">
        <v>18096.43</v>
      </c>
      <c r="M664" s="1">
        <v>1927.45</v>
      </c>
      <c r="N664" s="1">
        <v>99.77</v>
      </c>
      <c r="O664" t="s">
        <v>8</v>
      </c>
      <c r="P664">
        <v>2</v>
      </c>
      <c r="Q664" t="b">
        <v>0</v>
      </c>
      <c r="R664" t="s">
        <v>63</v>
      </c>
      <c r="S664">
        <v>2</v>
      </c>
      <c r="T664" t="e">
        <f>IF(#REF!&lt;=25, "Young Age", IF(#REF!&lt;=40, "Mid Age", "Old Age"))</f>
        <v>#REF!</v>
      </c>
      <c r="U664" t="str">
        <f t="shared" si="10"/>
        <v>Okay</v>
      </c>
    </row>
    <row r="665" spans="1:21" x14ac:dyDescent="0.35">
      <c r="A665" t="s">
        <v>1485</v>
      </c>
      <c r="B665" s="13">
        <v>44807</v>
      </c>
      <c r="C665" t="s">
        <v>1486</v>
      </c>
      <c r="D665" t="s">
        <v>3</v>
      </c>
      <c r="E665" t="s">
        <v>14</v>
      </c>
      <c r="F665" t="s">
        <v>84</v>
      </c>
      <c r="G665" t="s">
        <v>55</v>
      </c>
      <c r="H665" t="s">
        <v>91</v>
      </c>
      <c r="I665">
        <v>3</v>
      </c>
      <c r="J665" s="1">
        <v>3199.67</v>
      </c>
      <c r="K665">
        <v>0.02</v>
      </c>
      <c r="L665" s="1">
        <v>9330.68</v>
      </c>
      <c r="M665" s="1">
        <v>3697.29</v>
      </c>
      <c r="N665" s="1">
        <v>67.55</v>
      </c>
      <c r="O665" t="s">
        <v>57</v>
      </c>
      <c r="P665">
        <v>5</v>
      </c>
      <c r="Q665" t="b">
        <v>0</v>
      </c>
      <c r="R665" t="s">
        <v>18</v>
      </c>
      <c r="S665">
        <v>9</v>
      </c>
      <c r="T665" t="e">
        <f>IF(#REF!&lt;=25, "Young Age", IF(#REF!&lt;=40, "Mid Age", "Old Age"))</f>
        <v>#REF!</v>
      </c>
      <c r="U665" t="str">
        <f t="shared" si="10"/>
        <v>Over Delayed</v>
      </c>
    </row>
    <row r="666" spans="1:21" x14ac:dyDescent="0.35">
      <c r="A666" t="s">
        <v>1487</v>
      </c>
      <c r="B666" s="13">
        <v>44249</v>
      </c>
      <c r="C666" t="s">
        <v>1488</v>
      </c>
      <c r="D666" t="s">
        <v>3</v>
      </c>
      <c r="E666" t="s">
        <v>14</v>
      </c>
      <c r="F666" t="s">
        <v>28</v>
      </c>
      <c r="G666" t="s">
        <v>41</v>
      </c>
      <c r="H666" t="s">
        <v>261</v>
      </c>
      <c r="I666">
        <v>4</v>
      </c>
      <c r="J666" s="1">
        <v>386.28</v>
      </c>
      <c r="K666">
        <v>0.3</v>
      </c>
      <c r="L666" s="1">
        <v>1032.77</v>
      </c>
      <c r="M666" s="1">
        <v>513.15</v>
      </c>
      <c r="N666" s="1">
        <v>50.89</v>
      </c>
      <c r="O666" t="s">
        <v>30</v>
      </c>
      <c r="P666">
        <v>5</v>
      </c>
      <c r="Q666" t="b">
        <v>0</v>
      </c>
      <c r="R666" t="s">
        <v>18</v>
      </c>
      <c r="S666">
        <v>5</v>
      </c>
      <c r="T666" t="e">
        <f>IF(#REF!&lt;=25, "Young Age", IF(#REF!&lt;=40, "Mid Age", "Old Age"))</f>
        <v>#REF!</v>
      </c>
      <c r="U666" t="str">
        <f t="shared" si="10"/>
        <v>Delayed</v>
      </c>
    </row>
    <row r="667" spans="1:21" x14ac:dyDescent="0.35">
      <c r="A667" t="s">
        <v>1489</v>
      </c>
      <c r="B667" s="13">
        <v>44200</v>
      </c>
      <c r="C667" t="s">
        <v>1490</v>
      </c>
      <c r="D667" t="s">
        <v>47</v>
      </c>
      <c r="E667" t="s">
        <v>14</v>
      </c>
      <c r="F667" t="s">
        <v>84</v>
      </c>
      <c r="G667" t="s">
        <v>23</v>
      </c>
      <c r="H667" t="s">
        <v>199</v>
      </c>
      <c r="I667">
        <v>2</v>
      </c>
      <c r="J667" s="1">
        <v>7006.2</v>
      </c>
      <c r="K667">
        <v>0.24</v>
      </c>
      <c r="L667" s="1">
        <v>8461.81</v>
      </c>
      <c r="M667" s="1">
        <v>2133.62</v>
      </c>
      <c r="N667" s="1">
        <v>67.349999999999994</v>
      </c>
      <c r="O667" t="s">
        <v>57</v>
      </c>
      <c r="P667">
        <v>2</v>
      </c>
      <c r="Q667" t="b">
        <v>0</v>
      </c>
      <c r="R667" t="s">
        <v>18</v>
      </c>
      <c r="S667">
        <v>7</v>
      </c>
      <c r="T667" t="e">
        <f>IF(#REF!&lt;=25, "Young Age", IF(#REF!&lt;=40, "Mid Age", "Old Age"))</f>
        <v>#REF!</v>
      </c>
      <c r="U667" t="str">
        <f t="shared" si="10"/>
        <v>Delayed</v>
      </c>
    </row>
    <row r="668" spans="1:21" x14ac:dyDescent="0.35">
      <c r="A668" t="s">
        <v>1491</v>
      </c>
      <c r="B668" s="13">
        <v>44021</v>
      </c>
      <c r="C668" t="s">
        <v>1492</v>
      </c>
      <c r="D668" t="s">
        <v>3</v>
      </c>
      <c r="E668" t="s">
        <v>61</v>
      </c>
      <c r="F668" t="s">
        <v>271</v>
      </c>
      <c r="G668" t="s">
        <v>41</v>
      </c>
      <c r="H668" t="s">
        <v>42</v>
      </c>
      <c r="I668">
        <v>2</v>
      </c>
      <c r="J668" s="1">
        <v>472.49</v>
      </c>
      <c r="K668">
        <v>0.2</v>
      </c>
      <c r="L668" s="1">
        <v>1015.04</v>
      </c>
      <c r="M668" s="1">
        <v>475.52</v>
      </c>
      <c r="N668" s="1">
        <v>89.97</v>
      </c>
      <c r="O668" t="s">
        <v>49</v>
      </c>
      <c r="P668">
        <v>2</v>
      </c>
      <c r="Q668" t="b">
        <v>0</v>
      </c>
      <c r="R668" t="s">
        <v>18</v>
      </c>
      <c r="S668">
        <v>1</v>
      </c>
      <c r="T668" t="e">
        <f>IF(#REF!&lt;=25, "Young Age", IF(#REF!&lt;=40, "Mid Age", "Old Age"))</f>
        <v>#REF!</v>
      </c>
      <c r="U668" t="str">
        <f t="shared" si="10"/>
        <v>Okay</v>
      </c>
    </row>
    <row r="669" spans="1:21" x14ac:dyDescent="0.35">
      <c r="A669" t="s">
        <v>1493</v>
      </c>
      <c r="B669" s="13">
        <v>45514</v>
      </c>
      <c r="C669" t="s">
        <v>1494</v>
      </c>
      <c r="D669" t="s">
        <v>13</v>
      </c>
      <c r="E669" t="s">
        <v>61</v>
      </c>
      <c r="F669" t="s">
        <v>62</v>
      </c>
      <c r="G669" t="s">
        <v>16</v>
      </c>
      <c r="H669" t="s">
        <v>209</v>
      </c>
      <c r="I669">
        <v>6</v>
      </c>
      <c r="J669" s="1">
        <v>1237.08</v>
      </c>
      <c r="K669">
        <v>0.08</v>
      </c>
      <c r="L669" s="1">
        <v>10495.02</v>
      </c>
      <c r="M669" s="1">
        <v>5178.08</v>
      </c>
      <c r="N669" s="1">
        <v>78.37</v>
      </c>
      <c r="O669" t="s">
        <v>30</v>
      </c>
      <c r="P669">
        <v>3</v>
      </c>
      <c r="Q669" t="b">
        <v>0</v>
      </c>
      <c r="R669" t="s">
        <v>18</v>
      </c>
      <c r="S669">
        <v>10</v>
      </c>
      <c r="T669" t="e">
        <f>IF(#REF!&lt;=25, "Young Age", IF(#REF!&lt;=40, "Mid Age", "Old Age"))</f>
        <v>#REF!</v>
      </c>
      <c r="U669" t="str">
        <f t="shared" si="10"/>
        <v>Over Delayed</v>
      </c>
    </row>
    <row r="670" spans="1:21" x14ac:dyDescent="0.35">
      <c r="A670" t="s">
        <v>1495</v>
      </c>
      <c r="B670" s="13">
        <v>45173</v>
      </c>
      <c r="C670" t="s">
        <v>1496</v>
      </c>
      <c r="D670" t="s">
        <v>13</v>
      </c>
      <c r="E670" t="s">
        <v>14</v>
      </c>
      <c r="F670" t="s">
        <v>15</v>
      </c>
      <c r="G670" t="s">
        <v>23</v>
      </c>
      <c r="H670" t="s">
        <v>95</v>
      </c>
      <c r="J670" s="1">
        <v>18140.259999999998</v>
      </c>
      <c r="K670">
        <v>0.03</v>
      </c>
      <c r="L670" s="1">
        <v>21348.67</v>
      </c>
      <c r="M670" s="1">
        <v>6686.71</v>
      </c>
      <c r="N670" s="1">
        <v>61.79</v>
      </c>
      <c r="O670" t="s">
        <v>57</v>
      </c>
      <c r="P670">
        <v>4</v>
      </c>
      <c r="Q670" t="b">
        <v>0</v>
      </c>
      <c r="R670" t="s">
        <v>115</v>
      </c>
      <c r="S670">
        <v>10</v>
      </c>
      <c r="T670" t="e">
        <f>IF(#REF!&lt;=25, "Young Age", IF(#REF!&lt;=40, "Mid Age", "Old Age"))</f>
        <v>#REF!</v>
      </c>
      <c r="U670" t="str">
        <f t="shared" si="10"/>
        <v>Over Delayed</v>
      </c>
    </row>
    <row r="671" spans="1:21" x14ac:dyDescent="0.35">
      <c r="A671" t="s">
        <v>1497</v>
      </c>
      <c r="B671" s="13">
        <v>45134</v>
      </c>
      <c r="C671" t="s">
        <v>1498</v>
      </c>
      <c r="D671" t="s">
        <v>3</v>
      </c>
      <c r="E671" t="s">
        <v>89</v>
      </c>
      <c r="F671" t="s">
        <v>99</v>
      </c>
      <c r="G671" t="s">
        <v>105</v>
      </c>
      <c r="H671" t="s">
        <v>282</v>
      </c>
      <c r="I671">
        <v>4</v>
      </c>
      <c r="J671" s="1">
        <v>14557.67</v>
      </c>
      <c r="K671">
        <v>0.17</v>
      </c>
      <c r="L671" s="1">
        <v>78608.45</v>
      </c>
      <c r="M671" s="1">
        <v>9451.4500000000007</v>
      </c>
      <c r="N671" s="1">
        <v>67.92</v>
      </c>
      <c r="O671" t="s">
        <v>8</v>
      </c>
      <c r="P671">
        <v>2</v>
      </c>
      <c r="Q671" t="b">
        <v>0</v>
      </c>
      <c r="R671" t="s">
        <v>115</v>
      </c>
      <c r="S671">
        <v>5</v>
      </c>
      <c r="T671" t="e">
        <f>IF(#REF!&lt;=25, "Young Age", IF(#REF!&lt;=40, "Mid Age", "Old Age"))</f>
        <v>#REF!</v>
      </c>
      <c r="U671" t="str">
        <f t="shared" si="10"/>
        <v>Delayed</v>
      </c>
    </row>
    <row r="672" spans="1:21" x14ac:dyDescent="0.35">
      <c r="A672" t="s">
        <v>1499</v>
      </c>
      <c r="B672" s="13">
        <v>44390</v>
      </c>
      <c r="C672" t="s">
        <v>1500</v>
      </c>
      <c r="D672" t="s">
        <v>47</v>
      </c>
      <c r="E672" t="s">
        <v>14</v>
      </c>
      <c r="F672" t="s">
        <v>84</v>
      </c>
      <c r="G672" t="s">
        <v>6</v>
      </c>
      <c r="H672" t="s">
        <v>353</v>
      </c>
      <c r="I672">
        <v>4</v>
      </c>
      <c r="J672" s="1">
        <v>88.17</v>
      </c>
      <c r="K672">
        <v>0.18</v>
      </c>
      <c r="L672" s="1">
        <v>435.55</v>
      </c>
      <c r="M672" s="1">
        <v>36.130000000000003</v>
      </c>
      <c r="N672" s="1">
        <v>74.3</v>
      </c>
      <c r="O672" t="s">
        <v>43</v>
      </c>
      <c r="P672">
        <v>1</v>
      </c>
      <c r="Q672" t="b">
        <v>1</v>
      </c>
      <c r="R672" t="s">
        <v>9</v>
      </c>
      <c r="S672">
        <v>7</v>
      </c>
      <c r="T672" t="e">
        <f>IF(#REF!&lt;=25, "Young Age", IF(#REF!&lt;=40, "Mid Age", "Old Age"))</f>
        <v>#REF!</v>
      </c>
      <c r="U672" t="str">
        <f t="shared" si="10"/>
        <v>Delayed</v>
      </c>
    </row>
    <row r="673" spans="1:21" x14ac:dyDescent="0.35">
      <c r="A673" t="s">
        <v>1501</v>
      </c>
      <c r="B673" s="13">
        <v>44333</v>
      </c>
      <c r="C673" t="s">
        <v>1502</v>
      </c>
      <c r="D673" t="s">
        <v>3</v>
      </c>
      <c r="E673" t="s">
        <v>53</v>
      </c>
      <c r="F673" t="s">
        <v>79</v>
      </c>
      <c r="G673" t="s">
        <v>124</v>
      </c>
      <c r="H673" t="s">
        <v>254</v>
      </c>
      <c r="I673">
        <v>4</v>
      </c>
      <c r="J673" s="1">
        <v>8417.94</v>
      </c>
      <c r="K673">
        <v>0.17</v>
      </c>
      <c r="L673" s="1">
        <v>35739.9</v>
      </c>
      <c r="M673" s="1">
        <v>7946.19</v>
      </c>
      <c r="N673" s="1">
        <v>44.41</v>
      </c>
      <c r="O673" t="s">
        <v>43</v>
      </c>
      <c r="P673" t="s">
        <v>2149</v>
      </c>
      <c r="Q673" t="b">
        <v>1</v>
      </c>
      <c r="R673" t="s">
        <v>9</v>
      </c>
      <c r="S673">
        <v>3</v>
      </c>
      <c r="T673" t="e">
        <f>IF(#REF!&lt;=25, "Young Age", IF(#REF!&lt;=40, "Mid Age", "Old Age"))</f>
        <v>#REF!</v>
      </c>
      <c r="U673" t="str">
        <f t="shared" si="10"/>
        <v>Okay</v>
      </c>
    </row>
    <row r="674" spans="1:21" x14ac:dyDescent="0.35">
      <c r="A674" t="s">
        <v>1503</v>
      </c>
      <c r="B674" s="13">
        <v>43835</v>
      </c>
      <c r="C674" t="s">
        <v>1504</v>
      </c>
      <c r="D674" t="s">
        <v>13</v>
      </c>
      <c r="E674" t="s">
        <v>89</v>
      </c>
      <c r="F674" t="s">
        <v>90</v>
      </c>
      <c r="G674" t="s">
        <v>6</v>
      </c>
      <c r="H674" t="s">
        <v>374</v>
      </c>
      <c r="I674">
        <v>6</v>
      </c>
      <c r="J674" s="1">
        <v>375.14</v>
      </c>
      <c r="K674">
        <v>0.19</v>
      </c>
      <c r="L674" s="1">
        <v>1288.33</v>
      </c>
      <c r="M674" s="1">
        <v>89.5</v>
      </c>
      <c r="N674" s="1">
        <v>54.85</v>
      </c>
      <c r="O674" t="s">
        <v>8</v>
      </c>
      <c r="P674">
        <v>1</v>
      </c>
      <c r="Q674" t="b">
        <v>0</v>
      </c>
      <c r="R674" t="s">
        <v>175</v>
      </c>
      <c r="S674">
        <v>9</v>
      </c>
      <c r="T674" t="e">
        <f>IF(#REF!&lt;=25, "Young Age", IF(#REF!&lt;=40, "Mid Age", "Old Age"))</f>
        <v>#REF!</v>
      </c>
      <c r="U674" t="str">
        <f t="shared" si="10"/>
        <v>Over Delayed</v>
      </c>
    </row>
    <row r="675" spans="1:21" x14ac:dyDescent="0.35">
      <c r="A675" t="s">
        <v>1505</v>
      </c>
      <c r="B675" s="13">
        <v>45473</v>
      </c>
      <c r="C675" t="s">
        <v>1506</v>
      </c>
      <c r="D675" t="s">
        <v>47</v>
      </c>
      <c r="E675" t="s">
        <v>61</v>
      </c>
      <c r="F675" t="s">
        <v>271</v>
      </c>
      <c r="G675" t="s">
        <v>55</v>
      </c>
      <c r="H675" t="s">
        <v>185</v>
      </c>
      <c r="I675">
        <v>1</v>
      </c>
      <c r="J675" s="1">
        <v>940.26</v>
      </c>
      <c r="K675">
        <v>0.15</v>
      </c>
      <c r="L675" s="1">
        <v>1246.04</v>
      </c>
      <c r="M675" s="1">
        <v>538.04</v>
      </c>
      <c r="N675" s="1">
        <v>74.319999999999993</v>
      </c>
      <c r="O675" t="s">
        <v>8</v>
      </c>
      <c r="P675">
        <v>5</v>
      </c>
      <c r="Q675" t="b">
        <v>0</v>
      </c>
      <c r="R675" t="s">
        <v>18</v>
      </c>
      <c r="S675">
        <v>4</v>
      </c>
      <c r="T675" t="e">
        <f>IF(#REF!&lt;=25, "Young Age", IF(#REF!&lt;=40, "Mid Age", "Old Age"))</f>
        <v>#REF!</v>
      </c>
      <c r="U675" t="str">
        <f t="shared" si="10"/>
        <v>Okay</v>
      </c>
    </row>
    <row r="676" spans="1:21" x14ac:dyDescent="0.35">
      <c r="A676" t="s">
        <v>1507</v>
      </c>
      <c r="B676" s="13">
        <v>45529</v>
      </c>
      <c r="C676" t="s">
        <v>1508</v>
      </c>
      <c r="D676" t="s">
        <v>13</v>
      </c>
      <c r="E676" t="s">
        <v>4</v>
      </c>
      <c r="F676" t="s">
        <v>34</v>
      </c>
      <c r="G676" t="s">
        <v>41</v>
      </c>
      <c r="H676" t="s">
        <v>261</v>
      </c>
      <c r="I676">
        <v>4</v>
      </c>
      <c r="J676" s="1">
        <v>504.03</v>
      </c>
      <c r="K676">
        <v>0.09</v>
      </c>
      <c r="L676" s="1">
        <v>2819.84</v>
      </c>
      <c r="M676" s="1">
        <v>1074.69</v>
      </c>
      <c r="N676" s="1">
        <v>58.2</v>
      </c>
      <c r="O676" t="s">
        <v>30</v>
      </c>
      <c r="P676">
        <v>5</v>
      </c>
      <c r="Q676" t="b">
        <v>0</v>
      </c>
      <c r="R676" t="s">
        <v>18</v>
      </c>
      <c r="S676">
        <v>1</v>
      </c>
      <c r="T676" t="e">
        <f>IF(#REF!&lt;=25, "Young Age", IF(#REF!&lt;=40, "Mid Age", "Old Age"))</f>
        <v>#REF!</v>
      </c>
      <c r="U676" t="str">
        <f t="shared" si="10"/>
        <v>Okay</v>
      </c>
    </row>
    <row r="677" spans="1:21" x14ac:dyDescent="0.35">
      <c r="A677" t="s">
        <v>1509</v>
      </c>
      <c r="B677" s="13">
        <v>45335</v>
      </c>
      <c r="C677" t="s">
        <v>1510</v>
      </c>
      <c r="D677" t="s">
        <v>47</v>
      </c>
      <c r="E677" t="s">
        <v>89</v>
      </c>
      <c r="F677" t="s">
        <v>90</v>
      </c>
      <c r="G677" t="s">
        <v>6</v>
      </c>
      <c r="H677" t="s">
        <v>35</v>
      </c>
      <c r="I677">
        <v>9</v>
      </c>
      <c r="J677" s="1">
        <v>121.9</v>
      </c>
      <c r="K677">
        <v>0.27</v>
      </c>
      <c r="L677" s="1">
        <v>818.88</v>
      </c>
      <c r="M677" s="1">
        <v>88.91</v>
      </c>
      <c r="N677" s="1">
        <v>66.37</v>
      </c>
      <c r="O677" t="s">
        <v>8</v>
      </c>
      <c r="P677">
        <v>5</v>
      </c>
      <c r="Q677" t="b">
        <v>0</v>
      </c>
      <c r="R677" t="s">
        <v>18</v>
      </c>
      <c r="S677">
        <v>9</v>
      </c>
      <c r="T677" t="e">
        <f>IF(#REF!&lt;=25, "Young Age", IF(#REF!&lt;=40, "Mid Age", "Old Age"))</f>
        <v>#REF!</v>
      </c>
      <c r="U677" t="str">
        <f t="shared" si="10"/>
        <v>Over Delayed</v>
      </c>
    </row>
    <row r="678" spans="1:21" x14ac:dyDescent="0.35">
      <c r="A678" t="s">
        <v>1511</v>
      </c>
      <c r="B678" s="13">
        <v>44137</v>
      </c>
      <c r="C678" t="s">
        <v>1512</v>
      </c>
      <c r="D678" t="s">
        <v>13</v>
      </c>
      <c r="E678" t="s">
        <v>53</v>
      </c>
      <c r="F678" t="s">
        <v>54</v>
      </c>
      <c r="G678" t="s">
        <v>105</v>
      </c>
      <c r="H678" t="s">
        <v>120</v>
      </c>
      <c r="I678">
        <v>10</v>
      </c>
      <c r="J678" s="1">
        <v>28972.39</v>
      </c>
      <c r="K678">
        <v>0.33</v>
      </c>
      <c r="L678" s="1">
        <v>130564.4</v>
      </c>
      <c r="M678" s="1">
        <v>13703.51</v>
      </c>
      <c r="N678" s="1">
        <v>50.2</v>
      </c>
      <c r="O678" t="s">
        <v>30</v>
      </c>
      <c r="P678">
        <v>3</v>
      </c>
      <c r="Q678" t="b">
        <v>0</v>
      </c>
      <c r="R678" t="s">
        <v>18</v>
      </c>
      <c r="S678">
        <v>8</v>
      </c>
      <c r="T678" t="e">
        <f>IF(#REF!&lt;=25, "Young Age", IF(#REF!&lt;=40, "Mid Age", "Old Age"))</f>
        <v>#REF!</v>
      </c>
      <c r="U678" t="str">
        <f t="shared" si="10"/>
        <v>Over Delayed</v>
      </c>
    </row>
    <row r="679" spans="1:21" x14ac:dyDescent="0.35">
      <c r="A679" t="s">
        <v>1513</v>
      </c>
      <c r="B679" s="13">
        <v>44054</v>
      </c>
      <c r="C679" t="s">
        <v>1514</v>
      </c>
      <c r="D679" t="s">
        <v>13</v>
      </c>
      <c r="E679" t="s">
        <v>89</v>
      </c>
      <c r="F679" t="s">
        <v>299</v>
      </c>
      <c r="G679" t="s">
        <v>124</v>
      </c>
      <c r="H679" t="s">
        <v>139</v>
      </c>
      <c r="I679">
        <v>10</v>
      </c>
      <c r="J679" s="1">
        <v>12293.17</v>
      </c>
      <c r="K679">
        <v>0.28000000000000003</v>
      </c>
      <c r="L679" s="1">
        <v>106448.38</v>
      </c>
      <c r="M679" s="1">
        <v>22757.35</v>
      </c>
      <c r="N679" s="1">
        <v>56.34</v>
      </c>
      <c r="O679" t="s">
        <v>30</v>
      </c>
      <c r="P679">
        <v>4</v>
      </c>
      <c r="Q679" t="b">
        <v>0</v>
      </c>
      <c r="R679" t="s">
        <v>175</v>
      </c>
      <c r="S679">
        <v>6</v>
      </c>
      <c r="T679" t="e">
        <f>IF(#REF!&lt;=25, "Young Age", IF(#REF!&lt;=40, "Mid Age", "Old Age"))</f>
        <v>#REF!</v>
      </c>
      <c r="U679" t="str">
        <f t="shared" si="10"/>
        <v>Delayed</v>
      </c>
    </row>
    <row r="680" spans="1:21" x14ac:dyDescent="0.35">
      <c r="A680" t="s">
        <v>1515</v>
      </c>
      <c r="B680" s="13">
        <v>44895</v>
      </c>
      <c r="C680" t="s">
        <v>1516</v>
      </c>
      <c r="D680" t="s">
        <v>13</v>
      </c>
      <c r="E680" t="s">
        <v>4</v>
      </c>
      <c r="F680" t="s">
        <v>34</v>
      </c>
      <c r="G680" t="s">
        <v>105</v>
      </c>
      <c r="H680" t="s">
        <v>438</v>
      </c>
      <c r="I680">
        <v>10</v>
      </c>
      <c r="J680" s="1">
        <v>46339.99</v>
      </c>
      <c r="K680">
        <v>0.36</v>
      </c>
      <c r="L680" s="1">
        <v>266029.05</v>
      </c>
      <c r="M680" s="1">
        <v>36961.78</v>
      </c>
      <c r="N680" s="1">
        <v>81.540000000000006</v>
      </c>
      <c r="O680" t="s">
        <v>43</v>
      </c>
      <c r="P680" t="s">
        <v>2149</v>
      </c>
      <c r="Q680" t="b">
        <v>0</v>
      </c>
      <c r="R680" t="s">
        <v>18</v>
      </c>
      <c r="S680">
        <v>9</v>
      </c>
      <c r="T680" t="e">
        <f>IF(#REF!&lt;=25, "Young Age", IF(#REF!&lt;=40, "Mid Age", "Old Age"))</f>
        <v>#REF!</v>
      </c>
      <c r="U680" t="str">
        <f t="shared" si="10"/>
        <v>Over Delayed</v>
      </c>
    </row>
    <row r="681" spans="1:21" x14ac:dyDescent="0.35">
      <c r="A681" t="s">
        <v>1517</v>
      </c>
      <c r="B681" s="13">
        <v>43946</v>
      </c>
      <c r="C681" t="s">
        <v>1518</v>
      </c>
      <c r="D681" t="s">
        <v>47</v>
      </c>
      <c r="E681" t="s">
        <v>4</v>
      </c>
      <c r="F681" t="s">
        <v>48</v>
      </c>
      <c r="G681" t="s">
        <v>105</v>
      </c>
      <c r="H681" t="s">
        <v>149</v>
      </c>
      <c r="J681" s="1">
        <v>77507.61</v>
      </c>
      <c r="K681">
        <v>0.11</v>
      </c>
      <c r="L681" s="1">
        <v>80565.98</v>
      </c>
      <c r="M681" s="1">
        <v>9703.67</v>
      </c>
      <c r="N681" s="1">
        <v>60.01</v>
      </c>
      <c r="O681" t="s">
        <v>8</v>
      </c>
      <c r="P681">
        <v>1</v>
      </c>
      <c r="Q681" t="b">
        <v>0</v>
      </c>
      <c r="R681" t="s">
        <v>18</v>
      </c>
      <c r="S681">
        <v>5</v>
      </c>
      <c r="T681" t="e">
        <f>IF(#REF!&lt;=25, "Young Age", IF(#REF!&lt;=40, "Mid Age", "Old Age"))</f>
        <v>#REF!</v>
      </c>
      <c r="U681" t="str">
        <f t="shared" si="10"/>
        <v>Delayed</v>
      </c>
    </row>
    <row r="682" spans="1:21" x14ac:dyDescent="0.35">
      <c r="A682" t="s">
        <v>1519</v>
      </c>
      <c r="B682" s="13">
        <v>44569</v>
      </c>
      <c r="C682" t="s">
        <v>1520</v>
      </c>
      <c r="D682" t="s">
        <v>13</v>
      </c>
      <c r="E682" t="s">
        <v>14</v>
      </c>
      <c r="F682" t="s">
        <v>15</v>
      </c>
      <c r="G682" t="s">
        <v>16</v>
      </c>
      <c r="H682" t="s">
        <v>17</v>
      </c>
      <c r="I682">
        <v>2</v>
      </c>
      <c r="J682" s="1">
        <v>332.8</v>
      </c>
      <c r="K682">
        <v>0.24</v>
      </c>
      <c r="L682" s="1">
        <v>429.47</v>
      </c>
      <c r="M682" s="1">
        <v>235.77</v>
      </c>
      <c r="N682" s="1">
        <v>47.12</v>
      </c>
      <c r="O682" t="s">
        <v>36</v>
      </c>
      <c r="P682">
        <v>1</v>
      </c>
      <c r="Q682" t="b">
        <v>0</v>
      </c>
      <c r="R682" t="s">
        <v>18</v>
      </c>
      <c r="S682">
        <v>2</v>
      </c>
      <c r="T682" t="e">
        <f>IF(#REF!&lt;=25, "Young Age", IF(#REF!&lt;=40, "Mid Age", "Old Age"))</f>
        <v>#REF!</v>
      </c>
      <c r="U682" t="str">
        <f t="shared" si="10"/>
        <v>Okay</v>
      </c>
    </row>
    <row r="683" spans="1:21" x14ac:dyDescent="0.35">
      <c r="A683" t="s">
        <v>1521</v>
      </c>
      <c r="B683" s="13">
        <v>45288</v>
      </c>
      <c r="C683" t="s">
        <v>1522</v>
      </c>
      <c r="D683" t="s">
        <v>47</v>
      </c>
      <c r="E683" t="s">
        <v>53</v>
      </c>
      <c r="F683" t="s">
        <v>170</v>
      </c>
      <c r="G683" t="s">
        <v>55</v>
      </c>
      <c r="H683" t="s">
        <v>91</v>
      </c>
      <c r="I683">
        <v>3</v>
      </c>
      <c r="J683" s="1">
        <v>2696.4</v>
      </c>
      <c r="K683">
        <v>0.19</v>
      </c>
      <c r="L683" s="1">
        <v>5511.95</v>
      </c>
      <c r="M683" s="1">
        <v>1848.17</v>
      </c>
      <c r="N683" s="1">
        <v>57.33</v>
      </c>
      <c r="O683" t="s">
        <v>49</v>
      </c>
      <c r="P683">
        <v>5</v>
      </c>
      <c r="Q683" t="b">
        <v>0</v>
      </c>
      <c r="R683" t="s">
        <v>175</v>
      </c>
      <c r="S683">
        <v>10</v>
      </c>
      <c r="T683" t="e">
        <f>IF(#REF!&lt;=25, "Young Age", IF(#REF!&lt;=40, "Mid Age", "Old Age"))</f>
        <v>#REF!</v>
      </c>
      <c r="U683" t="str">
        <f t="shared" si="10"/>
        <v>Over Delayed</v>
      </c>
    </row>
    <row r="684" spans="1:21" x14ac:dyDescent="0.35">
      <c r="A684" t="s">
        <v>1523</v>
      </c>
      <c r="B684" s="13">
        <v>45362</v>
      </c>
      <c r="C684" t="s">
        <v>1524</v>
      </c>
      <c r="D684" t="s">
        <v>47</v>
      </c>
      <c r="E684" t="s">
        <v>89</v>
      </c>
      <c r="F684" t="s">
        <v>299</v>
      </c>
      <c r="G684" t="s">
        <v>124</v>
      </c>
      <c r="H684" t="s">
        <v>139</v>
      </c>
      <c r="I684">
        <v>8</v>
      </c>
      <c r="J684" s="1">
        <v>14238.38</v>
      </c>
      <c r="K684">
        <v>0.39</v>
      </c>
      <c r="L684" s="1">
        <v>99575.7</v>
      </c>
      <c r="M684" s="1">
        <v>21335.83</v>
      </c>
      <c r="N684" s="1">
        <v>73.75</v>
      </c>
      <c r="O684" t="s">
        <v>57</v>
      </c>
      <c r="P684" t="s">
        <v>2149</v>
      </c>
      <c r="Q684" t="b">
        <v>1</v>
      </c>
      <c r="R684" t="s">
        <v>9</v>
      </c>
      <c r="S684">
        <v>3</v>
      </c>
      <c r="T684" t="e">
        <f>IF(#REF!&lt;=25, "Young Age", IF(#REF!&lt;=40, "Mid Age", "Old Age"))</f>
        <v>#REF!</v>
      </c>
      <c r="U684" t="str">
        <f t="shared" si="10"/>
        <v>Okay</v>
      </c>
    </row>
    <row r="685" spans="1:21" x14ac:dyDescent="0.35">
      <c r="A685" t="s">
        <v>1525</v>
      </c>
      <c r="B685" s="13">
        <v>45467</v>
      </c>
      <c r="C685" t="s">
        <v>1526</v>
      </c>
      <c r="D685" t="s">
        <v>47</v>
      </c>
      <c r="E685" t="s">
        <v>14</v>
      </c>
      <c r="F685" t="s">
        <v>22</v>
      </c>
      <c r="G685" t="s">
        <v>105</v>
      </c>
      <c r="H685" t="s">
        <v>120</v>
      </c>
      <c r="I685">
        <v>4</v>
      </c>
      <c r="J685" s="1">
        <v>59208.95</v>
      </c>
      <c r="K685">
        <v>0.03</v>
      </c>
      <c r="L685" s="1">
        <v>400648.58</v>
      </c>
      <c r="M685" s="1">
        <v>57546.61</v>
      </c>
      <c r="N685" s="1">
        <v>86.75</v>
      </c>
      <c r="O685" t="s">
        <v>36</v>
      </c>
      <c r="P685" t="s">
        <v>2149</v>
      </c>
      <c r="Q685" t="b">
        <v>0</v>
      </c>
      <c r="R685" t="s">
        <v>18</v>
      </c>
      <c r="S685">
        <v>8</v>
      </c>
      <c r="T685" t="e">
        <f>IF(#REF!&lt;=25, "Young Age", IF(#REF!&lt;=40, "Mid Age", "Old Age"))</f>
        <v>#REF!</v>
      </c>
      <c r="U685" t="str">
        <f t="shared" si="10"/>
        <v>Over Delayed</v>
      </c>
    </row>
    <row r="686" spans="1:21" x14ac:dyDescent="0.35">
      <c r="A686" t="s">
        <v>1527</v>
      </c>
      <c r="B686" s="13">
        <v>44591</v>
      </c>
      <c r="C686" t="s">
        <v>1528</v>
      </c>
      <c r="D686" t="s">
        <v>3</v>
      </c>
      <c r="E686" t="s">
        <v>14</v>
      </c>
      <c r="F686" t="s">
        <v>15</v>
      </c>
      <c r="G686" t="s">
        <v>23</v>
      </c>
      <c r="H686" t="s">
        <v>71</v>
      </c>
      <c r="I686">
        <v>5</v>
      </c>
      <c r="J686" s="1">
        <v>15638.22</v>
      </c>
      <c r="K686">
        <v>0.12</v>
      </c>
      <c r="L686" s="1">
        <v>53952.69</v>
      </c>
      <c r="M686" s="1">
        <v>13304.82</v>
      </c>
      <c r="N686" s="1">
        <v>71.64</v>
      </c>
      <c r="O686" t="s">
        <v>49</v>
      </c>
      <c r="P686">
        <v>1</v>
      </c>
      <c r="Q686" t="b">
        <v>0</v>
      </c>
      <c r="R686" t="s">
        <v>18</v>
      </c>
      <c r="S686">
        <v>4</v>
      </c>
      <c r="T686" t="e">
        <f>IF(#REF!&lt;=25, "Young Age", IF(#REF!&lt;=40, "Mid Age", "Old Age"))</f>
        <v>#REF!</v>
      </c>
      <c r="U686" t="str">
        <f t="shared" si="10"/>
        <v>Okay</v>
      </c>
    </row>
    <row r="687" spans="1:21" x14ac:dyDescent="0.35">
      <c r="A687" t="s">
        <v>1529</v>
      </c>
      <c r="B687" s="13">
        <v>43849</v>
      </c>
      <c r="C687" t="s">
        <v>1530</v>
      </c>
      <c r="D687" t="s">
        <v>3</v>
      </c>
      <c r="E687" t="s">
        <v>89</v>
      </c>
      <c r="F687" t="s">
        <v>299</v>
      </c>
      <c r="G687" t="s">
        <v>55</v>
      </c>
      <c r="H687" t="s">
        <v>110</v>
      </c>
      <c r="I687">
        <v>9</v>
      </c>
      <c r="J687" s="1">
        <v>1560.64</v>
      </c>
      <c r="K687">
        <v>0.03</v>
      </c>
      <c r="L687" s="1">
        <v>9605.16</v>
      </c>
      <c r="M687" s="1">
        <v>2702.45</v>
      </c>
      <c r="N687" s="1">
        <v>71.03</v>
      </c>
      <c r="O687" t="s">
        <v>43</v>
      </c>
      <c r="P687">
        <v>5</v>
      </c>
      <c r="Q687" t="b">
        <v>0</v>
      </c>
      <c r="R687" t="s">
        <v>18</v>
      </c>
      <c r="S687">
        <v>4</v>
      </c>
      <c r="T687" t="e">
        <f>IF(#REF!&lt;=25, "Young Age", IF(#REF!&lt;=40, "Mid Age", "Old Age"))</f>
        <v>#REF!</v>
      </c>
      <c r="U687" t="str">
        <f t="shared" si="10"/>
        <v>Okay</v>
      </c>
    </row>
    <row r="688" spans="1:21" x14ac:dyDescent="0.35">
      <c r="A688" t="s">
        <v>1531</v>
      </c>
      <c r="B688" s="13">
        <v>45196</v>
      </c>
      <c r="C688" t="s">
        <v>1532</v>
      </c>
      <c r="D688" t="s">
        <v>13</v>
      </c>
      <c r="E688" t="s">
        <v>61</v>
      </c>
      <c r="F688" t="s">
        <v>62</v>
      </c>
      <c r="G688" t="s">
        <v>124</v>
      </c>
      <c r="H688" t="s">
        <v>125</v>
      </c>
      <c r="I688">
        <v>5</v>
      </c>
      <c r="J688" s="1">
        <v>3167.34</v>
      </c>
      <c r="K688">
        <v>0.17</v>
      </c>
      <c r="L688" s="1">
        <v>17024.05</v>
      </c>
      <c r="M688" s="1">
        <v>2543.83</v>
      </c>
      <c r="N688" s="1">
        <v>66.83</v>
      </c>
      <c r="O688" t="s">
        <v>57</v>
      </c>
      <c r="P688">
        <v>4</v>
      </c>
      <c r="Q688" t="b">
        <v>0</v>
      </c>
      <c r="R688" t="s">
        <v>18</v>
      </c>
      <c r="S688">
        <v>10</v>
      </c>
      <c r="T688" t="e">
        <f>IF(#REF!&lt;=25, "Young Age", IF(#REF!&lt;=40, "Mid Age", "Old Age"))</f>
        <v>#REF!</v>
      </c>
      <c r="U688" t="str">
        <f t="shared" si="10"/>
        <v>Over Delayed</v>
      </c>
    </row>
    <row r="689" spans="1:21" x14ac:dyDescent="0.35">
      <c r="A689" t="s">
        <v>1533</v>
      </c>
      <c r="B689" s="13">
        <v>45513</v>
      </c>
      <c r="C689" t="s">
        <v>1534</v>
      </c>
      <c r="D689" t="s">
        <v>13</v>
      </c>
      <c r="E689" t="s">
        <v>61</v>
      </c>
      <c r="F689" t="s">
        <v>222</v>
      </c>
      <c r="G689" t="s">
        <v>16</v>
      </c>
      <c r="H689" t="s">
        <v>390</v>
      </c>
      <c r="I689">
        <v>10</v>
      </c>
      <c r="J689" s="1">
        <v>323.83999999999997</v>
      </c>
      <c r="K689">
        <v>0.18</v>
      </c>
      <c r="L689" s="1">
        <v>3695.81</v>
      </c>
      <c r="M689" s="1">
        <v>1548.57</v>
      </c>
      <c r="N689" s="1">
        <v>79.930000000000007</v>
      </c>
      <c r="O689" t="s">
        <v>49</v>
      </c>
      <c r="P689">
        <v>5</v>
      </c>
      <c r="Q689" t="b">
        <v>0</v>
      </c>
      <c r="R689" t="s">
        <v>18</v>
      </c>
      <c r="S689">
        <v>7</v>
      </c>
      <c r="T689" t="e">
        <f>IF(#REF!&lt;=25, "Young Age", IF(#REF!&lt;=40, "Mid Age", "Old Age"))</f>
        <v>#REF!</v>
      </c>
      <c r="U689" t="str">
        <f t="shared" si="10"/>
        <v>Delayed</v>
      </c>
    </row>
    <row r="690" spans="1:21" x14ac:dyDescent="0.35">
      <c r="A690" t="s">
        <v>1535</v>
      </c>
      <c r="B690" s="13">
        <v>44622</v>
      </c>
      <c r="C690" t="s">
        <v>1536</v>
      </c>
      <c r="D690" t="s">
        <v>3</v>
      </c>
      <c r="E690" t="s">
        <v>89</v>
      </c>
      <c r="F690" t="s">
        <v>99</v>
      </c>
      <c r="G690" t="s">
        <v>124</v>
      </c>
      <c r="H690" t="s">
        <v>195</v>
      </c>
      <c r="I690">
        <v>5</v>
      </c>
      <c r="J690" s="1">
        <v>5150.6400000000003</v>
      </c>
      <c r="K690">
        <v>0.37</v>
      </c>
      <c r="L690" s="1">
        <v>19963.259999999998</v>
      </c>
      <c r="M690" s="1">
        <v>3851.26</v>
      </c>
      <c r="N690" s="1">
        <v>75.38</v>
      </c>
      <c r="O690" t="s">
        <v>57</v>
      </c>
      <c r="P690">
        <v>4</v>
      </c>
      <c r="Q690" t="b">
        <v>0</v>
      </c>
      <c r="R690" t="s">
        <v>37</v>
      </c>
      <c r="S690">
        <v>3</v>
      </c>
      <c r="T690" t="e">
        <f>IF(#REF!&lt;=25, "Young Age", IF(#REF!&lt;=40, "Mid Age", "Old Age"))</f>
        <v>#REF!</v>
      </c>
      <c r="U690" t="str">
        <f t="shared" si="10"/>
        <v>Okay</v>
      </c>
    </row>
    <row r="691" spans="1:21" x14ac:dyDescent="0.35">
      <c r="A691" t="s">
        <v>1537</v>
      </c>
      <c r="B691" s="13">
        <v>44496</v>
      </c>
      <c r="C691" t="s">
        <v>1538</v>
      </c>
      <c r="D691" t="s">
        <v>3</v>
      </c>
      <c r="E691" t="s">
        <v>4</v>
      </c>
      <c r="F691" t="s">
        <v>48</v>
      </c>
      <c r="G691" t="s">
        <v>23</v>
      </c>
      <c r="H691" t="s">
        <v>71</v>
      </c>
      <c r="I691">
        <v>8</v>
      </c>
      <c r="J691" s="1">
        <v>31666.799999999999</v>
      </c>
      <c r="K691">
        <v>0.27</v>
      </c>
      <c r="L691" s="1">
        <v>186136.9</v>
      </c>
      <c r="M691" s="1">
        <v>48229.69</v>
      </c>
      <c r="N691" s="1">
        <v>70.27</v>
      </c>
      <c r="O691" t="s">
        <v>36</v>
      </c>
      <c r="P691">
        <v>3</v>
      </c>
      <c r="Q691" t="b">
        <v>0</v>
      </c>
      <c r="R691" t="s">
        <v>18</v>
      </c>
      <c r="S691">
        <v>5</v>
      </c>
      <c r="T691" t="e">
        <f>IF(#REF!&lt;=25, "Young Age", IF(#REF!&lt;=40, "Mid Age", "Old Age"))</f>
        <v>#REF!</v>
      </c>
      <c r="U691" t="str">
        <f t="shared" si="10"/>
        <v>Delayed</v>
      </c>
    </row>
    <row r="692" spans="1:21" x14ac:dyDescent="0.35">
      <c r="A692" t="s">
        <v>1539</v>
      </c>
      <c r="B692" s="13">
        <v>44606</v>
      </c>
      <c r="C692" t="s">
        <v>1540</v>
      </c>
      <c r="D692" t="s">
        <v>13</v>
      </c>
      <c r="E692" t="s">
        <v>53</v>
      </c>
      <c r="F692" t="s">
        <v>114</v>
      </c>
      <c r="G692" t="s">
        <v>55</v>
      </c>
      <c r="H692" t="s">
        <v>185</v>
      </c>
      <c r="I692">
        <v>4</v>
      </c>
      <c r="J692" s="1">
        <v>3616.81</v>
      </c>
      <c r="K692">
        <v>0.01</v>
      </c>
      <c r="L692" s="1">
        <v>14243.78</v>
      </c>
      <c r="M692" s="1">
        <v>3640.83</v>
      </c>
      <c r="N692" s="1">
        <v>40.58</v>
      </c>
      <c r="O692" t="s">
        <v>8</v>
      </c>
      <c r="P692">
        <v>4</v>
      </c>
      <c r="Q692" t="b">
        <v>0</v>
      </c>
      <c r="R692" t="s">
        <v>115</v>
      </c>
      <c r="S692">
        <v>2</v>
      </c>
      <c r="T692" t="e">
        <f>IF(#REF!&lt;=25, "Young Age", IF(#REF!&lt;=40, "Mid Age", "Old Age"))</f>
        <v>#REF!</v>
      </c>
      <c r="U692" t="str">
        <f t="shared" si="10"/>
        <v>Okay</v>
      </c>
    </row>
    <row r="693" spans="1:21" x14ac:dyDescent="0.35">
      <c r="A693" t="s">
        <v>1541</v>
      </c>
      <c r="B693" s="13">
        <v>44985</v>
      </c>
      <c r="C693" t="s">
        <v>1542</v>
      </c>
      <c r="D693" t="s">
        <v>13</v>
      </c>
      <c r="E693" t="s">
        <v>4</v>
      </c>
      <c r="F693" t="s">
        <v>34</v>
      </c>
      <c r="G693" t="s">
        <v>105</v>
      </c>
      <c r="H693" t="s">
        <v>106</v>
      </c>
      <c r="I693">
        <v>8</v>
      </c>
      <c r="J693" s="1">
        <v>28881.53</v>
      </c>
      <c r="K693">
        <v>0.38</v>
      </c>
      <c r="L693" s="1">
        <v>145274.42000000001</v>
      </c>
      <c r="M693" s="1">
        <v>14990.91</v>
      </c>
      <c r="N693" s="1">
        <v>36.68</v>
      </c>
      <c r="O693" t="s">
        <v>49</v>
      </c>
      <c r="P693" t="s">
        <v>2149</v>
      </c>
      <c r="Q693" t="b">
        <v>0</v>
      </c>
      <c r="R693" t="s">
        <v>115</v>
      </c>
      <c r="S693">
        <v>6</v>
      </c>
      <c r="T693" t="e">
        <f>IF(#REF!&lt;=25, "Young Age", IF(#REF!&lt;=40, "Mid Age", "Old Age"))</f>
        <v>#REF!</v>
      </c>
      <c r="U693" t="str">
        <f t="shared" si="10"/>
        <v>Delayed</v>
      </c>
    </row>
    <row r="694" spans="1:21" x14ac:dyDescent="0.35">
      <c r="A694" t="s">
        <v>1543</v>
      </c>
      <c r="B694" s="13">
        <v>44578</v>
      </c>
      <c r="C694" t="s">
        <v>1544</v>
      </c>
      <c r="D694" t="s">
        <v>3</v>
      </c>
      <c r="E694" t="s">
        <v>4</v>
      </c>
      <c r="F694" t="s">
        <v>48</v>
      </c>
      <c r="G694" t="s">
        <v>16</v>
      </c>
      <c r="H694" t="s">
        <v>80</v>
      </c>
      <c r="I694">
        <v>9</v>
      </c>
      <c r="J694" s="1">
        <v>1064.67</v>
      </c>
      <c r="K694">
        <v>0.33</v>
      </c>
      <c r="L694" s="1">
        <v>5679.24</v>
      </c>
      <c r="M694" s="1">
        <v>3280.89</v>
      </c>
      <c r="N694" s="1">
        <v>74.790000000000006</v>
      </c>
      <c r="O694" t="s">
        <v>43</v>
      </c>
      <c r="P694">
        <v>4</v>
      </c>
      <c r="Q694" t="b">
        <v>1</v>
      </c>
      <c r="R694" t="s">
        <v>9</v>
      </c>
      <c r="S694">
        <v>10</v>
      </c>
      <c r="T694" t="e">
        <f>IF(#REF!&lt;=25, "Young Age", IF(#REF!&lt;=40, "Mid Age", "Old Age"))</f>
        <v>#REF!</v>
      </c>
      <c r="U694" t="str">
        <f t="shared" si="10"/>
        <v>Over Delayed</v>
      </c>
    </row>
    <row r="695" spans="1:21" x14ac:dyDescent="0.35">
      <c r="A695" t="s">
        <v>1545</v>
      </c>
      <c r="B695" s="13">
        <v>44257</v>
      </c>
      <c r="C695" t="s">
        <v>1546</v>
      </c>
      <c r="D695" t="s">
        <v>13</v>
      </c>
      <c r="E695" t="s">
        <v>53</v>
      </c>
      <c r="F695" t="s">
        <v>114</v>
      </c>
      <c r="G695" t="s">
        <v>6</v>
      </c>
      <c r="H695" t="s">
        <v>7</v>
      </c>
      <c r="I695">
        <v>9</v>
      </c>
      <c r="J695" s="1">
        <v>172.48</v>
      </c>
      <c r="K695">
        <v>0.16</v>
      </c>
      <c r="L695" s="1">
        <v>1373.62</v>
      </c>
      <c r="M695" s="1">
        <v>111.05</v>
      </c>
      <c r="N695" s="1">
        <v>48.27</v>
      </c>
      <c r="O695" t="s">
        <v>8</v>
      </c>
      <c r="P695">
        <v>2</v>
      </c>
      <c r="Q695" t="b">
        <v>0</v>
      </c>
      <c r="R695" t="s">
        <v>18</v>
      </c>
      <c r="S695">
        <v>6</v>
      </c>
      <c r="T695" t="e">
        <f>IF(#REF!&lt;=25, "Young Age", IF(#REF!&lt;=40, "Mid Age", "Old Age"))</f>
        <v>#REF!</v>
      </c>
      <c r="U695" t="str">
        <f t="shared" si="10"/>
        <v>Delayed</v>
      </c>
    </row>
    <row r="696" spans="1:21" x14ac:dyDescent="0.35">
      <c r="A696" t="s">
        <v>1547</v>
      </c>
      <c r="B696" s="13">
        <v>44812</v>
      </c>
      <c r="C696" t="s">
        <v>1548</v>
      </c>
      <c r="D696" t="s">
        <v>3</v>
      </c>
      <c r="E696" t="s">
        <v>14</v>
      </c>
      <c r="F696" t="s">
        <v>22</v>
      </c>
      <c r="G696" t="s">
        <v>23</v>
      </c>
      <c r="H696" t="s">
        <v>29</v>
      </c>
      <c r="I696">
        <v>2</v>
      </c>
      <c r="J696" s="1">
        <v>21391.95</v>
      </c>
      <c r="K696">
        <v>0.09</v>
      </c>
      <c r="L696" s="1">
        <v>42758.89</v>
      </c>
      <c r="M696" s="1">
        <v>8615.36</v>
      </c>
      <c r="N696" s="1">
        <v>88.4</v>
      </c>
      <c r="O696" t="s">
        <v>8</v>
      </c>
      <c r="P696">
        <v>2</v>
      </c>
      <c r="Q696" t="b">
        <v>1</v>
      </c>
      <c r="R696" t="s">
        <v>9</v>
      </c>
      <c r="S696">
        <v>3</v>
      </c>
      <c r="T696" t="e">
        <f>IF(#REF!&lt;=25, "Young Age", IF(#REF!&lt;=40, "Mid Age", "Old Age"))</f>
        <v>#REF!</v>
      </c>
      <c r="U696" t="str">
        <f t="shared" si="10"/>
        <v>Okay</v>
      </c>
    </row>
    <row r="697" spans="1:21" x14ac:dyDescent="0.35">
      <c r="A697" t="s">
        <v>1549</v>
      </c>
      <c r="B697" s="13">
        <v>44036</v>
      </c>
      <c r="C697" t="s">
        <v>1550</v>
      </c>
      <c r="D697" t="s">
        <v>47</v>
      </c>
      <c r="E697" t="s">
        <v>4</v>
      </c>
      <c r="F697" t="s">
        <v>34</v>
      </c>
      <c r="G697" t="s">
        <v>55</v>
      </c>
      <c r="H697" t="s">
        <v>91</v>
      </c>
      <c r="I697">
        <v>1</v>
      </c>
      <c r="J697" s="1">
        <v>2855.2</v>
      </c>
      <c r="K697">
        <v>0.19</v>
      </c>
      <c r="L697" s="1">
        <v>3015.82</v>
      </c>
      <c r="M697" s="1">
        <v>1580.35</v>
      </c>
      <c r="N697" s="1">
        <v>65.12</v>
      </c>
      <c r="O697" t="s">
        <v>43</v>
      </c>
      <c r="P697">
        <v>1</v>
      </c>
      <c r="Q697" t="b">
        <v>0</v>
      </c>
      <c r="R697" t="s">
        <v>18</v>
      </c>
      <c r="S697">
        <v>1</v>
      </c>
      <c r="T697" t="e">
        <f>IF(#REF!&lt;=25, "Young Age", IF(#REF!&lt;=40, "Mid Age", "Old Age"))</f>
        <v>#REF!</v>
      </c>
      <c r="U697" t="str">
        <f t="shared" si="10"/>
        <v>Okay</v>
      </c>
    </row>
    <row r="698" spans="1:21" x14ac:dyDescent="0.35">
      <c r="A698" t="s">
        <v>1551</v>
      </c>
      <c r="B698" s="13">
        <v>44515</v>
      </c>
      <c r="C698" t="s">
        <v>1552</v>
      </c>
      <c r="D698" t="s">
        <v>13</v>
      </c>
      <c r="E698" t="s">
        <v>14</v>
      </c>
      <c r="F698" t="s">
        <v>22</v>
      </c>
      <c r="G698" t="s">
        <v>55</v>
      </c>
      <c r="H698" t="s">
        <v>110</v>
      </c>
      <c r="I698">
        <v>2</v>
      </c>
      <c r="J698" s="1">
        <v>1623.15</v>
      </c>
      <c r="K698">
        <v>0.33</v>
      </c>
      <c r="L698" s="1">
        <v>1938.25</v>
      </c>
      <c r="M698" s="1">
        <v>726.9</v>
      </c>
      <c r="N698" s="1">
        <v>45.5</v>
      </c>
      <c r="O698" t="s">
        <v>49</v>
      </c>
      <c r="P698">
        <v>3</v>
      </c>
      <c r="Q698" t="b">
        <v>0</v>
      </c>
      <c r="R698" t="s">
        <v>37</v>
      </c>
      <c r="S698">
        <v>2</v>
      </c>
      <c r="T698" t="e">
        <f>IF(#REF!&lt;=25, "Young Age", IF(#REF!&lt;=40, "Mid Age", "Old Age"))</f>
        <v>#REF!</v>
      </c>
      <c r="U698" t="str">
        <f t="shared" si="10"/>
        <v>Okay</v>
      </c>
    </row>
    <row r="699" spans="1:21" x14ac:dyDescent="0.35">
      <c r="A699" t="s">
        <v>1553</v>
      </c>
      <c r="B699" s="13">
        <v>44456</v>
      </c>
      <c r="C699" t="s">
        <v>1554</v>
      </c>
      <c r="D699" t="s">
        <v>3</v>
      </c>
      <c r="E699" t="s">
        <v>61</v>
      </c>
      <c r="F699" t="s">
        <v>222</v>
      </c>
      <c r="G699" t="s">
        <v>55</v>
      </c>
      <c r="H699" t="s">
        <v>91</v>
      </c>
      <c r="I699">
        <v>1</v>
      </c>
      <c r="J699" s="1">
        <v>581.13</v>
      </c>
      <c r="K699">
        <v>0.01</v>
      </c>
      <c r="L699" s="1">
        <v>664.52</v>
      </c>
      <c r="M699" s="1">
        <v>237.69</v>
      </c>
      <c r="N699" s="1">
        <v>85.55</v>
      </c>
      <c r="O699" t="s">
        <v>43</v>
      </c>
      <c r="P699">
        <v>2</v>
      </c>
      <c r="Q699" t="b">
        <v>0</v>
      </c>
      <c r="R699" t="s">
        <v>18</v>
      </c>
      <c r="S699">
        <v>4</v>
      </c>
      <c r="T699" t="e">
        <f>IF(#REF!&lt;=25, "Young Age", IF(#REF!&lt;=40, "Mid Age", "Old Age"))</f>
        <v>#REF!</v>
      </c>
      <c r="U699" t="str">
        <f t="shared" si="10"/>
        <v>Okay</v>
      </c>
    </row>
    <row r="700" spans="1:21" x14ac:dyDescent="0.35">
      <c r="A700" t="s">
        <v>1555</v>
      </c>
      <c r="B700" s="13">
        <v>43994</v>
      </c>
      <c r="C700" t="s">
        <v>1556</v>
      </c>
      <c r="D700" t="s">
        <v>13</v>
      </c>
      <c r="E700" t="s">
        <v>4</v>
      </c>
      <c r="F700" t="s">
        <v>5</v>
      </c>
      <c r="G700" t="s">
        <v>55</v>
      </c>
      <c r="H700" t="s">
        <v>91</v>
      </c>
      <c r="I700">
        <v>8</v>
      </c>
      <c r="J700" s="1">
        <v>2755.32</v>
      </c>
      <c r="K700">
        <v>0.2</v>
      </c>
      <c r="L700" s="1">
        <v>24539.81</v>
      </c>
      <c r="M700" s="1">
        <v>6803.51</v>
      </c>
      <c r="N700" s="1">
        <v>48.26</v>
      </c>
      <c r="O700" t="s">
        <v>57</v>
      </c>
      <c r="P700">
        <v>1</v>
      </c>
      <c r="Q700" t="b">
        <v>0</v>
      </c>
      <c r="R700" t="s">
        <v>18</v>
      </c>
      <c r="S700">
        <v>4</v>
      </c>
      <c r="T700" t="e">
        <f>IF(#REF!&lt;=25, "Young Age", IF(#REF!&lt;=40, "Mid Age", "Old Age"))</f>
        <v>#REF!</v>
      </c>
      <c r="U700" t="str">
        <f t="shared" si="10"/>
        <v>Okay</v>
      </c>
    </row>
    <row r="701" spans="1:21" x14ac:dyDescent="0.35">
      <c r="A701" t="s">
        <v>1557</v>
      </c>
      <c r="B701" s="13">
        <v>44517</v>
      </c>
      <c r="C701" t="s">
        <v>1558</v>
      </c>
      <c r="D701" t="s">
        <v>3</v>
      </c>
      <c r="E701" t="s">
        <v>61</v>
      </c>
      <c r="F701" t="s">
        <v>104</v>
      </c>
      <c r="G701" t="s">
        <v>6</v>
      </c>
      <c r="H701" t="s">
        <v>75</v>
      </c>
      <c r="I701">
        <v>4</v>
      </c>
      <c r="J701" s="1">
        <v>421.33</v>
      </c>
      <c r="K701">
        <v>0.14000000000000001</v>
      </c>
      <c r="L701" s="1">
        <v>1026.6500000000001</v>
      </c>
      <c r="M701" s="1">
        <v>97.18</v>
      </c>
      <c r="N701" s="1">
        <v>82</v>
      </c>
      <c r="O701" t="s">
        <v>49</v>
      </c>
      <c r="P701">
        <v>1</v>
      </c>
      <c r="Q701" t="b">
        <v>0</v>
      </c>
      <c r="R701" t="s">
        <v>18</v>
      </c>
      <c r="S701">
        <v>10</v>
      </c>
      <c r="T701" t="e">
        <f>IF(#REF!&lt;=25, "Young Age", IF(#REF!&lt;=40, "Mid Age", "Old Age"))</f>
        <v>#REF!</v>
      </c>
      <c r="U701" t="str">
        <f t="shared" si="10"/>
        <v>Over Delayed</v>
      </c>
    </row>
    <row r="702" spans="1:21" x14ac:dyDescent="0.35">
      <c r="A702" t="s">
        <v>1559</v>
      </c>
      <c r="B702" s="13">
        <v>45098</v>
      </c>
      <c r="C702" t="s">
        <v>1560</v>
      </c>
      <c r="D702" t="s">
        <v>13</v>
      </c>
      <c r="E702" t="s">
        <v>14</v>
      </c>
      <c r="F702" t="s">
        <v>28</v>
      </c>
      <c r="G702" t="s">
        <v>16</v>
      </c>
      <c r="H702" t="s">
        <v>557</v>
      </c>
      <c r="I702">
        <v>10</v>
      </c>
      <c r="J702" s="1">
        <v>325.56</v>
      </c>
      <c r="K702">
        <v>0.28999999999999998</v>
      </c>
      <c r="L702" s="1">
        <v>3569.04</v>
      </c>
      <c r="M702" s="1">
        <v>1816.65</v>
      </c>
      <c r="N702" s="1">
        <v>46.14</v>
      </c>
      <c r="O702" t="s">
        <v>49</v>
      </c>
      <c r="P702">
        <v>1</v>
      </c>
      <c r="Q702" t="b">
        <v>0</v>
      </c>
      <c r="R702" t="s">
        <v>63</v>
      </c>
      <c r="S702">
        <v>3</v>
      </c>
      <c r="T702" t="e">
        <f>IF(#REF!&lt;=25, "Young Age", IF(#REF!&lt;=40, "Mid Age", "Old Age"))</f>
        <v>#REF!</v>
      </c>
      <c r="U702" t="str">
        <f t="shared" si="10"/>
        <v>Okay</v>
      </c>
    </row>
    <row r="703" spans="1:21" x14ac:dyDescent="0.35">
      <c r="A703" t="s">
        <v>1561</v>
      </c>
      <c r="B703" s="13">
        <v>44480</v>
      </c>
      <c r="C703" t="s">
        <v>1562</v>
      </c>
      <c r="D703" t="s">
        <v>3</v>
      </c>
      <c r="E703" t="s">
        <v>53</v>
      </c>
      <c r="F703" t="s">
        <v>54</v>
      </c>
      <c r="G703" t="s">
        <v>41</v>
      </c>
      <c r="H703" t="s">
        <v>261</v>
      </c>
      <c r="I703">
        <v>10</v>
      </c>
      <c r="J703" s="1">
        <v>1279.2</v>
      </c>
      <c r="K703">
        <v>0.17</v>
      </c>
      <c r="L703" s="1">
        <v>10694.49</v>
      </c>
      <c r="M703" s="1">
        <v>4612.59</v>
      </c>
      <c r="N703" s="1">
        <v>38.619999999999997</v>
      </c>
      <c r="O703" t="s">
        <v>30</v>
      </c>
      <c r="P703">
        <v>1</v>
      </c>
      <c r="Q703" t="b">
        <v>0</v>
      </c>
      <c r="R703" t="s">
        <v>115</v>
      </c>
      <c r="S703">
        <v>6</v>
      </c>
      <c r="T703" t="e">
        <f>IF(#REF!&lt;=25, "Young Age", IF(#REF!&lt;=40, "Mid Age", "Old Age"))</f>
        <v>#REF!</v>
      </c>
      <c r="U703" t="str">
        <f t="shared" si="10"/>
        <v>Delayed</v>
      </c>
    </row>
    <row r="704" spans="1:21" x14ac:dyDescent="0.35">
      <c r="A704" t="s">
        <v>1563</v>
      </c>
      <c r="B704" s="13">
        <v>45261</v>
      </c>
      <c r="C704" t="s">
        <v>1564</v>
      </c>
      <c r="D704" t="s">
        <v>13</v>
      </c>
      <c r="E704" t="s">
        <v>53</v>
      </c>
      <c r="F704" t="s">
        <v>54</v>
      </c>
      <c r="G704" t="s">
        <v>16</v>
      </c>
      <c r="H704" t="s">
        <v>557</v>
      </c>
      <c r="I704">
        <v>1</v>
      </c>
      <c r="J704" s="1">
        <v>2427.6999999999998</v>
      </c>
      <c r="K704">
        <v>0.11</v>
      </c>
      <c r="L704" s="1">
        <v>1734.31</v>
      </c>
      <c r="M704" s="1">
        <v>605.52</v>
      </c>
      <c r="N704" s="1">
        <v>48.85</v>
      </c>
      <c r="O704" t="s">
        <v>49</v>
      </c>
      <c r="P704">
        <v>2</v>
      </c>
      <c r="Q704" t="b">
        <v>0</v>
      </c>
      <c r="R704" t="s">
        <v>18</v>
      </c>
      <c r="S704">
        <v>1</v>
      </c>
      <c r="T704" t="e">
        <f>IF(#REF!&lt;=25, "Young Age", IF(#REF!&lt;=40, "Mid Age", "Old Age"))</f>
        <v>#REF!</v>
      </c>
      <c r="U704" t="str">
        <f t="shared" si="10"/>
        <v>Okay</v>
      </c>
    </row>
    <row r="705" spans="1:21" x14ac:dyDescent="0.35">
      <c r="A705" t="s">
        <v>1565</v>
      </c>
      <c r="B705" s="13">
        <v>44559</v>
      </c>
      <c r="C705" t="s">
        <v>1566</v>
      </c>
      <c r="D705" t="s">
        <v>3</v>
      </c>
      <c r="E705" t="s">
        <v>53</v>
      </c>
      <c r="F705" t="s">
        <v>170</v>
      </c>
      <c r="G705" t="s">
        <v>55</v>
      </c>
      <c r="H705" t="s">
        <v>110</v>
      </c>
      <c r="I705">
        <v>6</v>
      </c>
      <c r="J705" s="1">
        <v>2259.04</v>
      </c>
      <c r="K705">
        <v>0.36</v>
      </c>
      <c r="L705" s="1">
        <v>6753.1</v>
      </c>
      <c r="M705" s="1">
        <v>2777.61</v>
      </c>
      <c r="N705" s="1">
        <v>41.85</v>
      </c>
      <c r="O705" t="s">
        <v>36</v>
      </c>
      <c r="P705">
        <v>2</v>
      </c>
      <c r="Q705" t="b">
        <v>0</v>
      </c>
      <c r="R705" t="s">
        <v>18</v>
      </c>
      <c r="S705">
        <v>6</v>
      </c>
      <c r="T705" t="e">
        <f>IF(#REF!&lt;=25, "Young Age", IF(#REF!&lt;=40, "Mid Age", "Old Age"))</f>
        <v>#REF!</v>
      </c>
      <c r="U705" t="str">
        <f t="shared" si="10"/>
        <v>Delayed</v>
      </c>
    </row>
    <row r="706" spans="1:21" x14ac:dyDescent="0.35">
      <c r="A706" t="s">
        <v>1567</v>
      </c>
      <c r="B706" s="13">
        <v>44180</v>
      </c>
      <c r="C706" t="s">
        <v>1568</v>
      </c>
      <c r="D706" t="s">
        <v>47</v>
      </c>
      <c r="E706" t="s">
        <v>53</v>
      </c>
      <c r="F706" t="s">
        <v>170</v>
      </c>
      <c r="G706" t="s">
        <v>23</v>
      </c>
      <c r="H706" t="s">
        <v>24</v>
      </c>
      <c r="I706">
        <v>1</v>
      </c>
      <c r="J706" s="1">
        <v>21726.1</v>
      </c>
      <c r="K706">
        <v>0.28000000000000003</v>
      </c>
      <c r="L706" s="1">
        <v>9976.2800000000007</v>
      </c>
      <c r="M706" s="1">
        <v>2817.21</v>
      </c>
      <c r="N706" s="1">
        <v>57.05</v>
      </c>
      <c r="O706" t="s">
        <v>49</v>
      </c>
      <c r="P706">
        <v>4</v>
      </c>
      <c r="Q706" t="b">
        <v>0</v>
      </c>
      <c r="R706" t="s">
        <v>63</v>
      </c>
      <c r="S706">
        <v>7</v>
      </c>
      <c r="T706" t="e">
        <f>IF(#REF!&lt;=25, "Young Age", IF(#REF!&lt;=40, "Mid Age", "Old Age"))</f>
        <v>#REF!</v>
      </c>
      <c r="U706" t="str">
        <f t="shared" ref="U706:U769" si="11">IF(S706 &lt;=4, "Okay", IF(S706 &lt;=7, "Delayed", "Over Delayed"))</f>
        <v>Delayed</v>
      </c>
    </row>
    <row r="707" spans="1:21" x14ac:dyDescent="0.35">
      <c r="A707" t="s">
        <v>1569</v>
      </c>
      <c r="B707" s="13">
        <v>45539</v>
      </c>
      <c r="C707" t="s">
        <v>1570</v>
      </c>
      <c r="D707" t="s">
        <v>3</v>
      </c>
      <c r="E707" t="s">
        <v>4</v>
      </c>
      <c r="F707" t="s">
        <v>48</v>
      </c>
      <c r="G707" t="s">
        <v>124</v>
      </c>
      <c r="H707" t="s">
        <v>125</v>
      </c>
      <c r="I707">
        <v>9</v>
      </c>
      <c r="J707" s="1">
        <v>796.29</v>
      </c>
      <c r="K707">
        <v>0.21</v>
      </c>
      <c r="L707" s="1">
        <v>7659.05</v>
      </c>
      <c r="M707" s="1">
        <v>1887.36</v>
      </c>
      <c r="N707" s="1">
        <v>52.86</v>
      </c>
      <c r="O707" t="s">
        <v>57</v>
      </c>
      <c r="P707">
        <v>2</v>
      </c>
      <c r="Q707" t="b">
        <v>0</v>
      </c>
      <c r="R707" t="s">
        <v>18</v>
      </c>
      <c r="S707">
        <v>2</v>
      </c>
      <c r="T707" t="e">
        <f>IF(#REF!&lt;=25, "Young Age", IF(#REF!&lt;=40, "Mid Age", "Old Age"))</f>
        <v>#REF!</v>
      </c>
      <c r="U707" t="str">
        <f t="shared" si="11"/>
        <v>Okay</v>
      </c>
    </row>
    <row r="708" spans="1:21" x14ac:dyDescent="0.35">
      <c r="A708" t="s">
        <v>1571</v>
      </c>
      <c r="B708" s="13">
        <v>44668</v>
      </c>
      <c r="C708" t="s">
        <v>1572</v>
      </c>
      <c r="D708" t="s">
        <v>47</v>
      </c>
      <c r="E708" t="s">
        <v>61</v>
      </c>
      <c r="F708" t="s">
        <v>271</v>
      </c>
      <c r="G708" t="s">
        <v>124</v>
      </c>
      <c r="H708" t="s">
        <v>156</v>
      </c>
      <c r="I708">
        <v>1</v>
      </c>
      <c r="J708" s="1">
        <v>8106.93</v>
      </c>
      <c r="K708">
        <v>0.27</v>
      </c>
      <c r="L708" s="1">
        <v>7375.32</v>
      </c>
      <c r="M708" s="1">
        <v>1061.19</v>
      </c>
      <c r="N708" s="1">
        <v>82.98</v>
      </c>
      <c r="O708" t="s">
        <v>49</v>
      </c>
      <c r="P708">
        <v>3</v>
      </c>
      <c r="Q708" t="b">
        <v>0</v>
      </c>
      <c r="R708" t="s">
        <v>18</v>
      </c>
      <c r="S708">
        <v>4</v>
      </c>
      <c r="T708" t="e">
        <f>IF(#REF!&lt;=25, "Young Age", IF(#REF!&lt;=40, "Mid Age", "Old Age"))</f>
        <v>#REF!</v>
      </c>
      <c r="U708" t="str">
        <f t="shared" si="11"/>
        <v>Okay</v>
      </c>
    </row>
    <row r="709" spans="1:21" x14ac:dyDescent="0.35">
      <c r="A709" t="s">
        <v>1573</v>
      </c>
      <c r="B709" s="13">
        <v>44730</v>
      </c>
      <c r="C709" t="s">
        <v>1574</v>
      </c>
      <c r="D709" t="s">
        <v>13</v>
      </c>
      <c r="E709" t="s">
        <v>61</v>
      </c>
      <c r="F709" t="s">
        <v>271</v>
      </c>
      <c r="G709" t="s">
        <v>105</v>
      </c>
      <c r="H709" t="s">
        <v>282</v>
      </c>
      <c r="I709">
        <v>8</v>
      </c>
      <c r="J709" s="1">
        <v>15107.58</v>
      </c>
      <c r="K709">
        <v>0.15</v>
      </c>
      <c r="L709" s="1">
        <v>173570.72</v>
      </c>
      <c r="M709" s="1">
        <v>21830.12</v>
      </c>
      <c r="N709" s="1">
        <v>77.28</v>
      </c>
      <c r="O709" t="s">
        <v>43</v>
      </c>
      <c r="P709">
        <v>4</v>
      </c>
      <c r="Q709" t="b">
        <v>0</v>
      </c>
      <c r="R709" t="s">
        <v>18</v>
      </c>
      <c r="S709">
        <v>10</v>
      </c>
      <c r="T709" t="e">
        <f>IF(#REF!&lt;=25, "Young Age", IF(#REF!&lt;=40, "Mid Age", "Old Age"))</f>
        <v>#REF!</v>
      </c>
      <c r="U709" t="str">
        <f t="shared" si="11"/>
        <v>Over Delayed</v>
      </c>
    </row>
    <row r="710" spans="1:21" x14ac:dyDescent="0.35">
      <c r="A710" t="s">
        <v>1575</v>
      </c>
      <c r="B710" s="13">
        <v>43859</v>
      </c>
      <c r="C710" t="s">
        <v>1576</v>
      </c>
      <c r="D710" t="s">
        <v>3</v>
      </c>
      <c r="E710" t="s">
        <v>89</v>
      </c>
      <c r="F710" t="s">
        <v>99</v>
      </c>
      <c r="G710" t="s">
        <v>23</v>
      </c>
      <c r="H710" t="s">
        <v>95</v>
      </c>
      <c r="I710">
        <v>7</v>
      </c>
      <c r="J710" s="1">
        <v>4470.7299999999996</v>
      </c>
      <c r="K710">
        <v>0.09</v>
      </c>
      <c r="L710" s="1">
        <v>22350.68</v>
      </c>
      <c r="M710" s="1">
        <v>8417.6200000000008</v>
      </c>
      <c r="N710" s="1">
        <v>45.52</v>
      </c>
      <c r="O710" t="s">
        <v>43</v>
      </c>
      <c r="P710">
        <v>4</v>
      </c>
      <c r="Q710" t="b">
        <v>0</v>
      </c>
      <c r="R710" t="s">
        <v>18</v>
      </c>
      <c r="S710">
        <v>6</v>
      </c>
      <c r="T710" t="e">
        <f>IF(#REF!&lt;=25, "Young Age", IF(#REF!&lt;=40, "Mid Age", "Old Age"))</f>
        <v>#REF!</v>
      </c>
      <c r="U710" t="str">
        <f t="shared" si="11"/>
        <v>Delayed</v>
      </c>
    </row>
    <row r="711" spans="1:21" x14ac:dyDescent="0.35">
      <c r="A711" t="s">
        <v>1577</v>
      </c>
      <c r="B711" s="13">
        <v>44175</v>
      </c>
      <c r="C711" t="s">
        <v>1578</v>
      </c>
      <c r="D711" t="s">
        <v>3</v>
      </c>
      <c r="E711" t="s">
        <v>4</v>
      </c>
      <c r="F711" t="s">
        <v>34</v>
      </c>
      <c r="G711" t="s">
        <v>41</v>
      </c>
      <c r="H711" t="s">
        <v>261</v>
      </c>
      <c r="I711">
        <v>6</v>
      </c>
      <c r="J711" s="1">
        <v>593.85</v>
      </c>
      <c r="K711">
        <v>0.02</v>
      </c>
      <c r="L711" s="1">
        <v>2492.5500000000002</v>
      </c>
      <c r="M711" s="1">
        <v>1018.25</v>
      </c>
      <c r="N711" s="1">
        <v>30.08</v>
      </c>
      <c r="O711" t="s">
        <v>36</v>
      </c>
      <c r="P711" t="s">
        <v>2149</v>
      </c>
      <c r="Q711" t="b">
        <v>0</v>
      </c>
      <c r="R711" t="s">
        <v>18</v>
      </c>
      <c r="S711">
        <v>1</v>
      </c>
      <c r="T711" t="e">
        <f>IF(#REF!&lt;=25, "Young Age", IF(#REF!&lt;=40, "Mid Age", "Old Age"))</f>
        <v>#REF!</v>
      </c>
      <c r="U711" t="str">
        <f t="shared" si="11"/>
        <v>Okay</v>
      </c>
    </row>
    <row r="712" spans="1:21" x14ac:dyDescent="0.35">
      <c r="A712" t="s">
        <v>1579</v>
      </c>
      <c r="B712" s="13">
        <v>43963</v>
      </c>
      <c r="C712" t="s">
        <v>1580</v>
      </c>
      <c r="D712" t="s">
        <v>3</v>
      </c>
      <c r="E712" t="s">
        <v>61</v>
      </c>
      <c r="F712" t="s">
        <v>222</v>
      </c>
      <c r="G712" t="s">
        <v>124</v>
      </c>
      <c r="H712" t="s">
        <v>413</v>
      </c>
      <c r="I712">
        <v>5</v>
      </c>
      <c r="J712" s="1">
        <v>6852.57</v>
      </c>
      <c r="K712">
        <v>0.19</v>
      </c>
      <c r="L712" s="1">
        <v>30208.26</v>
      </c>
      <c r="M712" s="1">
        <v>8215.56</v>
      </c>
      <c r="N712" s="1">
        <v>100.86</v>
      </c>
      <c r="O712" t="s">
        <v>30</v>
      </c>
      <c r="P712">
        <v>5</v>
      </c>
      <c r="Q712" t="b">
        <v>0</v>
      </c>
      <c r="R712" t="s">
        <v>18</v>
      </c>
      <c r="S712">
        <v>10</v>
      </c>
      <c r="T712" t="e">
        <f>IF(#REF!&lt;=25, "Young Age", IF(#REF!&lt;=40, "Mid Age", "Old Age"))</f>
        <v>#REF!</v>
      </c>
      <c r="U712" t="str">
        <f t="shared" si="11"/>
        <v>Over Delayed</v>
      </c>
    </row>
    <row r="713" spans="1:21" x14ac:dyDescent="0.35">
      <c r="A713" t="s">
        <v>1581</v>
      </c>
      <c r="B713" s="13">
        <v>45214</v>
      </c>
      <c r="C713" t="s">
        <v>1582</v>
      </c>
      <c r="D713" t="s">
        <v>47</v>
      </c>
      <c r="E713" t="s">
        <v>89</v>
      </c>
      <c r="F713" t="s">
        <v>99</v>
      </c>
      <c r="G713" t="s">
        <v>55</v>
      </c>
      <c r="H713" t="s">
        <v>100</v>
      </c>
      <c r="J713" s="1">
        <v>2135.46</v>
      </c>
      <c r="K713">
        <v>0.21</v>
      </c>
      <c r="L713" s="1">
        <v>1723.9</v>
      </c>
      <c r="M713" s="1">
        <v>368.18</v>
      </c>
      <c r="N713" s="1">
        <v>84</v>
      </c>
      <c r="O713" t="s">
        <v>57</v>
      </c>
      <c r="P713">
        <v>4</v>
      </c>
      <c r="Q713" t="b">
        <v>0</v>
      </c>
      <c r="R713" t="s">
        <v>18</v>
      </c>
      <c r="S713">
        <v>5</v>
      </c>
      <c r="T713" t="e">
        <f>IF(#REF!&lt;=25, "Young Age", IF(#REF!&lt;=40, "Mid Age", "Old Age"))</f>
        <v>#REF!</v>
      </c>
      <c r="U713" t="str">
        <f t="shared" si="11"/>
        <v>Delayed</v>
      </c>
    </row>
    <row r="714" spans="1:21" x14ac:dyDescent="0.35">
      <c r="A714" t="s">
        <v>1583</v>
      </c>
      <c r="B714" s="13">
        <v>44582</v>
      </c>
      <c r="C714" t="s">
        <v>1584</v>
      </c>
      <c r="D714" t="s">
        <v>3</v>
      </c>
      <c r="E714" t="s">
        <v>53</v>
      </c>
      <c r="F714" t="s">
        <v>114</v>
      </c>
      <c r="G714" t="s">
        <v>124</v>
      </c>
      <c r="H714" t="s">
        <v>156</v>
      </c>
      <c r="I714">
        <v>1</v>
      </c>
      <c r="J714" s="1">
        <v>14530.7</v>
      </c>
      <c r="K714">
        <v>0.16</v>
      </c>
      <c r="L714" s="1">
        <v>10169.91</v>
      </c>
      <c r="M714" s="1">
        <v>2350.09</v>
      </c>
      <c r="N714" s="1">
        <v>60.97</v>
      </c>
      <c r="O714" t="s">
        <v>57</v>
      </c>
      <c r="P714">
        <v>3</v>
      </c>
      <c r="Q714" t="b">
        <v>1</v>
      </c>
      <c r="R714" t="s">
        <v>9</v>
      </c>
      <c r="S714">
        <v>8</v>
      </c>
      <c r="T714" t="e">
        <f>IF(#REF!&lt;=25, "Young Age", IF(#REF!&lt;=40, "Mid Age", "Old Age"))</f>
        <v>#REF!</v>
      </c>
      <c r="U714" t="str">
        <f t="shared" si="11"/>
        <v>Over Delayed</v>
      </c>
    </row>
    <row r="715" spans="1:21" x14ac:dyDescent="0.35">
      <c r="A715" t="s">
        <v>1585</v>
      </c>
      <c r="B715" s="13">
        <v>44973</v>
      </c>
      <c r="C715" t="s">
        <v>1586</v>
      </c>
      <c r="D715" t="s">
        <v>13</v>
      </c>
      <c r="E715" t="s">
        <v>89</v>
      </c>
      <c r="F715" t="s">
        <v>99</v>
      </c>
      <c r="G715" t="s">
        <v>41</v>
      </c>
      <c r="H715" t="s">
        <v>261</v>
      </c>
      <c r="I715">
        <v>6</v>
      </c>
      <c r="J715" s="1">
        <v>893.91</v>
      </c>
      <c r="K715">
        <v>0.15</v>
      </c>
      <c r="L715" s="1">
        <v>5253.1</v>
      </c>
      <c r="M715" s="1">
        <v>1937.64</v>
      </c>
      <c r="N715" s="1">
        <v>87.48</v>
      </c>
      <c r="O715" t="s">
        <v>8</v>
      </c>
      <c r="P715">
        <v>4</v>
      </c>
      <c r="Q715" t="b">
        <v>0</v>
      </c>
      <c r="R715" t="s">
        <v>115</v>
      </c>
      <c r="S715">
        <v>4</v>
      </c>
      <c r="T715" t="e">
        <f>IF(#REF!&lt;=25, "Young Age", IF(#REF!&lt;=40, "Mid Age", "Old Age"))</f>
        <v>#REF!</v>
      </c>
      <c r="U715" t="str">
        <f t="shared" si="11"/>
        <v>Okay</v>
      </c>
    </row>
    <row r="716" spans="1:21" x14ac:dyDescent="0.35">
      <c r="A716" t="s">
        <v>1587</v>
      </c>
      <c r="B716" s="13">
        <v>43922</v>
      </c>
      <c r="C716" t="s">
        <v>1588</v>
      </c>
      <c r="D716" t="s">
        <v>13</v>
      </c>
      <c r="E716" t="s">
        <v>61</v>
      </c>
      <c r="F716" t="s">
        <v>222</v>
      </c>
      <c r="G716" t="s">
        <v>6</v>
      </c>
      <c r="H716" t="s">
        <v>353</v>
      </c>
      <c r="I716">
        <v>5</v>
      </c>
      <c r="J716" s="1">
        <v>380.73</v>
      </c>
      <c r="K716">
        <v>0.38</v>
      </c>
      <c r="L716" s="1">
        <v>891.35</v>
      </c>
      <c r="M716" s="1">
        <v>63.05</v>
      </c>
      <c r="N716" s="1">
        <v>69.349999999999994</v>
      </c>
      <c r="O716" t="s">
        <v>57</v>
      </c>
      <c r="P716">
        <v>5</v>
      </c>
      <c r="Q716" t="b">
        <v>0</v>
      </c>
      <c r="R716" t="s">
        <v>115</v>
      </c>
      <c r="S716">
        <v>4</v>
      </c>
      <c r="T716" t="e">
        <f>IF(#REF!&lt;=25, "Young Age", IF(#REF!&lt;=40, "Mid Age", "Old Age"))</f>
        <v>#REF!</v>
      </c>
      <c r="U716" t="str">
        <f t="shared" si="11"/>
        <v>Okay</v>
      </c>
    </row>
    <row r="717" spans="1:21" x14ac:dyDescent="0.35">
      <c r="A717" t="s">
        <v>1589</v>
      </c>
      <c r="B717" s="13">
        <v>45637</v>
      </c>
      <c r="C717" t="s">
        <v>1590</v>
      </c>
      <c r="D717" t="s">
        <v>13</v>
      </c>
      <c r="E717" t="s">
        <v>89</v>
      </c>
      <c r="F717" t="s">
        <v>99</v>
      </c>
      <c r="G717" t="s">
        <v>105</v>
      </c>
      <c r="H717" t="s">
        <v>174</v>
      </c>
      <c r="I717">
        <v>10</v>
      </c>
      <c r="J717" s="1">
        <v>19562.84</v>
      </c>
      <c r="K717">
        <v>0.24</v>
      </c>
      <c r="L717" s="1">
        <v>159763.82</v>
      </c>
      <c r="M717" s="1">
        <v>22214.02</v>
      </c>
      <c r="N717" s="1">
        <v>80.650000000000006</v>
      </c>
      <c r="O717" t="s">
        <v>30</v>
      </c>
      <c r="P717">
        <v>5</v>
      </c>
      <c r="Q717" t="b">
        <v>0</v>
      </c>
      <c r="R717" t="s">
        <v>115</v>
      </c>
      <c r="S717">
        <v>10</v>
      </c>
      <c r="T717" t="e">
        <f>IF(#REF!&lt;=25, "Young Age", IF(#REF!&lt;=40, "Mid Age", "Old Age"))</f>
        <v>#REF!</v>
      </c>
      <c r="U717" t="str">
        <f t="shared" si="11"/>
        <v>Over Delayed</v>
      </c>
    </row>
    <row r="718" spans="1:21" x14ac:dyDescent="0.35">
      <c r="A718" t="s">
        <v>1591</v>
      </c>
      <c r="B718" s="13">
        <v>45160</v>
      </c>
      <c r="C718" t="s">
        <v>1592</v>
      </c>
      <c r="D718" t="s">
        <v>3</v>
      </c>
      <c r="E718" t="s">
        <v>4</v>
      </c>
      <c r="F718" t="s">
        <v>34</v>
      </c>
      <c r="G718" t="s">
        <v>6</v>
      </c>
      <c r="H718" t="s">
        <v>387</v>
      </c>
      <c r="I718">
        <v>9</v>
      </c>
      <c r="J718" s="1">
        <v>460.52</v>
      </c>
      <c r="K718">
        <v>0.37</v>
      </c>
      <c r="L718" s="1">
        <v>3659.71</v>
      </c>
      <c r="M718" s="1">
        <v>327.33999999999997</v>
      </c>
      <c r="N718" s="1">
        <v>48.79</v>
      </c>
      <c r="O718" t="s">
        <v>30</v>
      </c>
      <c r="P718">
        <v>5</v>
      </c>
      <c r="Q718" t="b">
        <v>0</v>
      </c>
      <c r="R718" t="s">
        <v>37</v>
      </c>
      <c r="S718">
        <v>7</v>
      </c>
      <c r="T718" t="e">
        <f>IF(#REF!&lt;=25, "Young Age", IF(#REF!&lt;=40, "Mid Age", "Old Age"))</f>
        <v>#REF!</v>
      </c>
      <c r="U718" t="str">
        <f t="shared" si="11"/>
        <v>Delayed</v>
      </c>
    </row>
    <row r="719" spans="1:21" x14ac:dyDescent="0.35">
      <c r="A719" t="s">
        <v>1593</v>
      </c>
      <c r="B719" s="13">
        <v>45011</v>
      </c>
      <c r="C719" t="s">
        <v>1594</v>
      </c>
      <c r="D719" t="s">
        <v>3</v>
      </c>
      <c r="E719" t="s">
        <v>89</v>
      </c>
      <c r="F719" t="s">
        <v>90</v>
      </c>
      <c r="G719" t="s">
        <v>6</v>
      </c>
      <c r="H719" t="s">
        <v>35</v>
      </c>
      <c r="I719">
        <v>7</v>
      </c>
      <c r="J719" s="1">
        <v>448.17</v>
      </c>
      <c r="K719">
        <v>0.11</v>
      </c>
      <c r="L719" s="1">
        <v>3507.4</v>
      </c>
      <c r="M719" s="1">
        <v>212.91</v>
      </c>
      <c r="N719" s="1">
        <v>34.25</v>
      </c>
      <c r="O719" t="s">
        <v>30</v>
      </c>
      <c r="P719">
        <v>5</v>
      </c>
      <c r="Q719" t="b">
        <v>0</v>
      </c>
      <c r="R719" t="s">
        <v>18</v>
      </c>
      <c r="S719">
        <v>2</v>
      </c>
      <c r="T719" t="e">
        <f>IF(#REF!&lt;=25, "Young Age", IF(#REF!&lt;=40, "Mid Age", "Old Age"))</f>
        <v>#REF!</v>
      </c>
      <c r="U719" t="str">
        <f t="shared" si="11"/>
        <v>Okay</v>
      </c>
    </row>
    <row r="720" spans="1:21" x14ac:dyDescent="0.35">
      <c r="A720" t="s">
        <v>1595</v>
      </c>
      <c r="B720" s="13">
        <v>45266</v>
      </c>
      <c r="C720" t="s">
        <v>1596</v>
      </c>
      <c r="D720" t="s">
        <v>3</v>
      </c>
      <c r="E720" t="s">
        <v>4</v>
      </c>
      <c r="F720" t="s">
        <v>148</v>
      </c>
      <c r="G720" t="s">
        <v>41</v>
      </c>
      <c r="H720" t="s">
        <v>244</v>
      </c>
      <c r="I720">
        <v>9</v>
      </c>
      <c r="J720" s="1">
        <v>276.41000000000003</v>
      </c>
      <c r="K720">
        <v>0.11</v>
      </c>
      <c r="L720" s="1">
        <v>1896.15</v>
      </c>
      <c r="M720" s="1">
        <v>853.77</v>
      </c>
      <c r="N720" s="1">
        <v>46.35</v>
      </c>
      <c r="O720" t="s">
        <v>57</v>
      </c>
      <c r="P720">
        <v>2</v>
      </c>
      <c r="Q720" t="b">
        <v>0</v>
      </c>
      <c r="R720" t="s">
        <v>18</v>
      </c>
      <c r="S720" t="s">
        <v>2149</v>
      </c>
      <c r="T720" t="e">
        <f>IF(#REF!&lt;=25, "Young Age", IF(#REF!&lt;=40, "Mid Age", "Old Age"))</f>
        <v>#REF!</v>
      </c>
      <c r="U720" t="str">
        <f t="shared" si="11"/>
        <v>Over Delayed</v>
      </c>
    </row>
    <row r="721" spans="1:21" x14ac:dyDescent="0.35">
      <c r="A721" t="s">
        <v>1597</v>
      </c>
      <c r="B721" s="13">
        <v>44837</v>
      </c>
      <c r="C721" t="s">
        <v>1598</v>
      </c>
      <c r="D721" t="s">
        <v>3</v>
      </c>
      <c r="E721" t="s">
        <v>53</v>
      </c>
      <c r="F721" t="s">
        <v>79</v>
      </c>
      <c r="G721" t="s">
        <v>6</v>
      </c>
      <c r="H721" t="s">
        <v>353</v>
      </c>
      <c r="I721">
        <v>4</v>
      </c>
      <c r="J721" s="1">
        <v>385.4</v>
      </c>
      <c r="K721">
        <v>0.06</v>
      </c>
      <c r="L721" s="1">
        <v>1455</v>
      </c>
      <c r="M721" s="1">
        <v>86.48</v>
      </c>
      <c r="N721" s="1">
        <v>49.02</v>
      </c>
      <c r="O721" t="s">
        <v>43</v>
      </c>
      <c r="P721">
        <v>5</v>
      </c>
      <c r="Q721" t="b">
        <v>0</v>
      </c>
      <c r="R721" t="s">
        <v>18</v>
      </c>
      <c r="S721">
        <v>9</v>
      </c>
      <c r="T721" t="e">
        <f>IF(#REF!&lt;=25, "Young Age", IF(#REF!&lt;=40, "Mid Age", "Old Age"))</f>
        <v>#REF!</v>
      </c>
      <c r="U721" t="str">
        <f t="shared" si="11"/>
        <v>Over Delayed</v>
      </c>
    </row>
    <row r="722" spans="1:21" x14ac:dyDescent="0.35">
      <c r="A722" t="s">
        <v>1599</v>
      </c>
      <c r="B722" s="13">
        <v>44084</v>
      </c>
      <c r="C722" t="s">
        <v>1600</v>
      </c>
      <c r="D722" t="s">
        <v>47</v>
      </c>
      <c r="E722" t="s">
        <v>14</v>
      </c>
      <c r="F722" t="s">
        <v>28</v>
      </c>
      <c r="G722" t="s">
        <v>23</v>
      </c>
      <c r="H722" t="s">
        <v>29</v>
      </c>
      <c r="I722">
        <v>9</v>
      </c>
      <c r="J722" s="1">
        <v>31653.11</v>
      </c>
      <c r="K722">
        <v>0.37</v>
      </c>
      <c r="L722" s="1">
        <v>185665.67</v>
      </c>
      <c r="M722" s="1">
        <v>62381.83</v>
      </c>
      <c r="N722" s="1">
        <v>74.88</v>
      </c>
      <c r="O722" t="s">
        <v>8</v>
      </c>
      <c r="P722">
        <v>3</v>
      </c>
      <c r="Q722" t="b">
        <v>0</v>
      </c>
      <c r="R722" t="s">
        <v>18</v>
      </c>
      <c r="S722">
        <v>2</v>
      </c>
      <c r="T722" t="e">
        <f>IF(#REF!&lt;=25, "Young Age", IF(#REF!&lt;=40, "Mid Age", "Old Age"))</f>
        <v>#REF!</v>
      </c>
      <c r="U722" t="str">
        <f t="shared" si="11"/>
        <v>Okay</v>
      </c>
    </row>
    <row r="723" spans="1:21" x14ac:dyDescent="0.35">
      <c r="A723" t="s">
        <v>1601</v>
      </c>
      <c r="B723" s="13">
        <v>44234</v>
      </c>
      <c r="C723" t="s">
        <v>1602</v>
      </c>
      <c r="D723" t="s">
        <v>47</v>
      </c>
      <c r="E723" t="s">
        <v>61</v>
      </c>
      <c r="F723" t="s">
        <v>271</v>
      </c>
      <c r="G723" t="s">
        <v>105</v>
      </c>
      <c r="H723" t="s">
        <v>438</v>
      </c>
      <c r="I723">
        <v>3</v>
      </c>
      <c r="J723" s="1">
        <v>72774.78</v>
      </c>
      <c r="K723">
        <v>0.13</v>
      </c>
      <c r="L723" s="1">
        <v>179559.91</v>
      </c>
      <c r="M723" s="1">
        <v>15904.32</v>
      </c>
      <c r="N723" s="1">
        <v>90.91</v>
      </c>
      <c r="O723" t="s">
        <v>57</v>
      </c>
      <c r="P723">
        <v>5</v>
      </c>
      <c r="Q723" t="b">
        <v>0</v>
      </c>
      <c r="R723" t="s">
        <v>18</v>
      </c>
      <c r="S723">
        <v>6</v>
      </c>
      <c r="T723" t="e">
        <f>IF(#REF!&lt;=25, "Young Age", IF(#REF!&lt;=40, "Mid Age", "Old Age"))</f>
        <v>#REF!</v>
      </c>
      <c r="U723" t="str">
        <f t="shared" si="11"/>
        <v>Delayed</v>
      </c>
    </row>
    <row r="724" spans="1:21" x14ac:dyDescent="0.35">
      <c r="A724" t="s">
        <v>1603</v>
      </c>
      <c r="B724" s="13">
        <v>43831</v>
      </c>
      <c r="C724" t="s">
        <v>1604</v>
      </c>
      <c r="D724" t="s">
        <v>47</v>
      </c>
      <c r="E724" t="s">
        <v>14</v>
      </c>
      <c r="F724" t="s">
        <v>15</v>
      </c>
      <c r="G724" t="s">
        <v>16</v>
      </c>
      <c r="H724" t="s">
        <v>209</v>
      </c>
      <c r="I724">
        <v>9</v>
      </c>
      <c r="J724" s="1">
        <v>245.9</v>
      </c>
      <c r="K724">
        <v>0.24</v>
      </c>
      <c r="L724" s="1">
        <v>1205.28</v>
      </c>
      <c r="M724" s="1">
        <v>560.95000000000005</v>
      </c>
      <c r="N724" s="1">
        <v>45.22</v>
      </c>
      <c r="O724" t="s">
        <v>36</v>
      </c>
      <c r="P724">
        <v>1</v>
      </c>
      <c r="Q724" t="b">
        <v>1</v>
      </c>
      <c r="R724" t="s">
        <v>9</v>
      </c>
      <c r="S724" t="s">
        <v>2149</v>
      </c>
      <c r="T724" t="e">
        <f>IF(#REF!&lt;=25, "Young Age", IF(#REF!&lt;=40, "Mid Age", "Old Age"))</f>
        <v>#REF!</v>
      </c>
      <c r="U724" t="str">
        <f t="shared" si="11"/>
        <v>Over Delayed</v>
      </c>
    </row>
    <row r="725" spans="1:21" x14ac:dyDescent="0.35">
      <c r="A725" t="s">
        <v>1605</v>
      </c>
      <c r="B725" s="13">
        <v>44815</v>
      </c>
      <c r="C725" t="s">
        <v>1606</v>
      </c>
      <c r="D725" t="s">
        <v>13</v>
      </c>
      <c r="E725" t="s">
        <v>14</v>
      </c>
      <c r="F725" t="s">
        <v>28</v>
      </c>
      <c r="G725" t="s">
        <v>105</v>
      </c>
      <c r="H725" t="s">
        <v>174</v>
      </c>
      <c r="I725">
        <v>5</v>
      </c>
      <c r="J725" s="1">
        <v>48089.2</v>
      </c>
      <c r="K725">
        <v>0.19</v>
      </c>
      <c r="L725" s="1">
        <v>248755.47</v>
      </c>
      <c r="M725" s="1">
        <v>16926</v>
      </c>
      <c r="N725" s="1">
        <v>96.45</v>
      </c>
      <c r="O725" t="s">
        <v>8</v>
      </c>
      <c r="P725">
        <v>4</v>
      </c>
      <c r="Q725" t="b">
        <v>0</v>
      </c>
      <c r="R725" t="s">
        <v>18</v>
      </c>
      <c r="S725">
        <v>9</v>
      </c>
      <c r="T725" t="e">
        <f>IF(#REF!&lt;=25, "Young Age", IF(#REF!&lt;=40, "Mid Age", "Old Age"))</f>
        <v>#REF!</v>
      </c>
      <c r="U725" t="str">
        <f t="shared" si="11"/>
        <v>Over Delayed</v>
      </c>
    </row>
    <row r="726" spans="1:21" x14ac:dyDescent="0.35">
      <c r="A726" t="s">
        <v>1607</v>
      </c>
      <c r="B726" s="13">
        <v>45633</v>
      </c>
      <c r="C726" t="s">
        <v>1608</v>
      </c>
      <c r="D726" t="s">
        <v>3</v>
      </c>
      <c r="E726" t="s">
        <v>53</v>
      </c>
      <c r="F726" t="s">
        <v>114</v>
      </c>
      <c r="G726" t="s">
        <v>6</v>
      </c>
      <c r="H726" t="s">
        <v>353</v>
      </c>
      <c r="I726">
        <v>4</v>
      </c>
      <c r="J726" s="1">
        <v>471.4</v>
      </c>
      <c r="K726">
        <v>0.3</v>
      </c>
      <c r="L726" s="1">
        <v>1216.57</v>
      </c>
      <c r="M726" s="1">
        <v>70.680000000000007</v>
      </c>
      <c r="N726" s="1">
        <v>52.55</v>
      </c>
      <c r="O726" t="s">
        <v>30</v>
      </c>
      <c r="P726">
        <v>4</v>
      </c>
      <c r="Q726" t="b">
        <v>0</v>
      </c>
      <c r="R726" t="s">
        <v>18</v>
      </c>
      <c r="S726">
        <v>9</v>
      </c>
      <c r="T726" t="e">
        <f>IF(#REF!&lt;=25, "Young Age", IF(#REF!&lt;=40, "Mid Age", "Old Age"))</f>
        <v>#REF!</v>
      </c>
      <c r="U726" t="str">
        <f t="shared" si="11"/>
        <v>Over Delayed</v>
      </c>
    </row>
    <row r="727" spans="1:21" x14ac:dyDescent="0.35">
      <c r="A727" t="s">
        <v>1609</v>
      </c>
      <c r="B727" s="13">
        <v>44387</v>
      </c>
      <c r="C727" t="s">
        <v>1610</v>
      </c>
      <c r="D727" t="s">
        <v>3</v>
      </c>
      <c r="E727" t="s">
        <v>61</v>
      </c>
      <c r="F727" t="s">
        <v>62</v>
      </c>
      <c r="G727" t="s">
        <v>41</v>
      </c>
      <c r="H727" t="s">
        <v>244</v>
      </c>
      <c r="I727">
        <v>2</v>
      </c>
      <c r="J727" s="1">
        <v>986.99</v>
      </c>
      <c r="K727">
        <v>0.37</v>
      </c>
      <c r="L727" s="1">
        <v>1052.33</v>
      </c>
      <c r="M727" s="1">
        <v>405.51</v>
      </c>
      <c r="N727" s="1">
        <v>79.62</v>
      </c>
      <c r="O727" t="s">
        <v>8</v>
      </c>
      <c r="P727">
        <v>2</v>
      </c>
      <c r="Q727" t="b">
        <v>1</v>
      </c>
      <c r="R727" t="s">
        <v>9</v>
      </c>
      <c r="S727">
        <v>4</v>
      </c>
      <c r="T727" t="e">
        <f>IF(#REF!&lt;=25, "Young Age", IF(#REF!&lt;=40, "Mid Age", "Old Age"))</f>
        <v>#REF!</v>
      </c>
      <c r="U727" t="str">
        <f t="shared" si="11"/>
        <v>Okay</v>
      </c>
    </row>
    <row r="728" spans="1:21" x14ac:dyDescent="0.35">
      <c r="A728" t="s">
        <v>925</v>
      </c>
      <c r="B728" s="13">
        <v>45095</v>
      </c>
      <c r="C728" t="s">
        <v>926</v>
      </c>
      <c r="D728" t="s">
        <v>13</v>
      </c>
      <c r="E728" t="s">
        <v>53</v>
      </c>
      <c r="F728" t="s">
        <v>79</v>
      </c>
      <c r="G728" t="s">
        <v>41</v>
      </c>
      <c r="H728" t="s">
        <v>85</v>
      </c>
      <c r="I728">
        <v>9</v>
      </c>
      <c r="J728" s="1">
        <v>916.14</v>
      </c>
      <c r="K728">
        <v>0.36</v>
      </c>
      <c r="L728" s="1">
        <v>8220.0400000000009</v>
      </c>
      <c r="M728" s="1">
        <v>2666.27</v>
      </c>
      <c r="N728" s="1">
        <v>63.91</v>
      </c>
      <c r="O728" t="s">
        <v>43</v>
      </c>
      <c r="P728">
        <v>4</v>
      </c>
      <c r="Q728" t="b">
        <v>0</v>
      </c>
      <c r="R728" t="s">
        <v>63</v>
      </c>
      <c r="S728">
        <v>7</v>
      </c>
      <c r="T728" t="e">
        <f>IF(#REF!&lt;=25, "Young Age", IF(#REF!&lt;=40, "Mid Age", "Old Age"))</f>
        <v>#REF!</v>
      </c>
      <c r="U728" t="str">
        <f t="shared" si="11"/>
        <v>Delayed</v>
      </c>
    </row>
    <row r="729" spans="1:21" x14ac:dyDescent="0.35">
      <c r="A729" t="s">
        <v>1611</v>
      </c>
      <c r="B729" s="13">
        <v>45080</v>
      </c>
      <c r="C729" t="s">
        <v>1612</v>
      </c>
      <c r="D729" t="s">
        <v>47</v>
      </c>
      <c r="E729" t="s">
        <v>14</v>
      </c>
      <c r="F729" t="s">
        <v>84</v>
      </c>
      <c r="G729" t="s">
        <v>41</v>
      </c>
      <c r="H729" t="s">
        <v>261</v>
      </c>
      <c r="I729">
        <v>1</v>
      </c>
      <c r="J729" s="1">
        <v>1090.31</v>
      </c>
      <c r="K729">
        <v>0.26</v>
      </c>
      <c r="L729" s="1">
        <v>1249.54</v>
      </c>
      <c r="M729" s="1">
        <v>613.99</v>
      </c>
      <c r="N729" s="1">
        <v>61.28</v>
      </c>
      <c r="O729" t="s">
        <v>36</v>
      </c>
      <c r="P729">
        <v>3</v>
      </c>
      <c r="Q729" t="b">
        <v>0</v>
      </c>
      <c r="R729" t="s">
        <v>18</v>
      </c>
      <c r="S729">
        <v>9</v>
      </c>
      <c r="T729" t="e">
        <f>IF(#REF!&lt;=25, "Young Age", IF(#REF!&lt;=40, "Mid Age", "Old Age"))</f>
        <v>#REF!</v>
      </c>
      <c r="U729" t="str">
        <f t="shared" si="11"/>
        <v>Over Delayed</v>
      </c>
    </row>
    <row r="730" spans="1:21" x14ac:dyDescent="0.35">
      <c r="A730" t="s">
        <v>1613</v>
      </c>
      <c r="B730" s="13" t="s">
        <v>1614</v>
      </c>
      <c r="C730" t="s">
        <v>1615</v>
      </c>
      <c r="D730" t="s">
        <v>47</v>
      </c>
      <c r="E730" t="s">
        <v>89</v>
      </c>
      <c r="F730" t="s">
        <v>119</v>
      </c>
      <c r="G730" t="s">
        <v>124</v>
      </c>
      <c r="H730" t="s">
        <v>139</v>
      </c>
      <c r="I730">
        <v>7</v>
      </c>
      <c r="J730" s="1">
        <v>9110.75</v>
      </c>
      <c r="K730">
        <v>0.25</v>
      </c>
      <c r="L730" s="1">
        <v>47812.7</v>
      </c>
      <c r="M730" s="1">
        <v>10019.9</v>
      </c>
      <c r="N730" s="1">
        <v>90.53</v>
      </c>
      <c r="O730" t="s">
        <v>49</v>
      </c>
      <c r="P730">
        <v>2</v>
      </c>
      <c r="Q730" t="b">
        <v>0</v>
      </c>
      <c r="R730" t="s">
        <v>18</v>
      </c>
      <c r="S730">
        <v>7</v>
      </c>
      <c r="T730" t="e">
        <f>IF(#REF!&lt;=25, "Young Age", IF(#REF!&lt;=40, "Mid Age", "Old Age"))</f>
        <v>#REF!</v>
      </c>
      <c r="U730" t="str">
        <f t="shared" si="11"/>
        <v>Delayed</v>
      </c>
    </row>
    <row r="731" spans="1:21" x14ac:dyDescent="0.35">
      <c r="A731" t="s">
        <v>1616</v>
      </c>
      <c r="B731" s="13">
        <v>44471</v>
      </c>
      <c r="C731" t="s">
        <v>1617</v>
      </c>
      <c r="D731" t="s">
        <v>3</v>
      </c>
      <c r="E731" t="s">
        <v>53</v>
      </c>
      <c r="F731" t="s">
        <v>54</v>
      </c>
      <c r="G731" t="s">
        <v>124</v>
      </c>
      <c r="H731" t="s">
        <v>156</v>
      </c>
      <c r="I731">
        <v>10</v>
      </c>
      <c r="J731" s="1">
        <v>12010.26</v>
      </c>
      <c r="K731">
        <v>0.36</v>
      </c>
      <c r="L731" s="1">
        <v>68019.81</v>
      </c>
      <c r="M731" s="1">
        <v>13038.75</v>
      </c>
      <c r="N731" s="1">
        <v>77.19</v>
      </c>
      <c r="O731" t="s">
        <v>57</v>
      </c>
      <c r="P731">
        <v>1</v>
      </c>
      <c r="Q731" t="b">
        <v>0</v>
      </c>
      <c r="R731" t="s">
        <v>18</v>
      </c>
      <c r="S731">
        <v>10</v>
      </c>
      <c r="T731" t="e">
        <f>IF(#REF!&lt;=25, "Young Age", IF(#REF!&lt;=40, "Mid Age", "Old Age"))</f>
        <v>#REF!</v>
      </c>
      <c r="U731" t="str">
        <f t="shared" si="11"/>
        <v>Over Delayed</v>
      </c>
    </row>
    <row r="732" spans="1:21" x14ac:dyDescent="0.35">
      <c r="A732" t="s">
        <v>1618</v>
      </c>
      <c r="B732" s="13">
        <v>44232</v>
      </c>
      <c r="C732" t="s">
        <v>1619</v>
      </c>
      <c r="D732" t="s">
        <v>13</v>
      </c>
      <c r="E732" t="s">
        <v>61</v>
      </c>
      <c r="F732" t="s">
        <v>62</v>
      </c>
      <c r="G732" t="s">
        <v>41</v>
      </c>
      <c r="H732" t="s">
        <v>42</v>
      </c>
      <c r="I732">
        <v>10</v>
      </c>
      <c r="J732" s="1">
        <v>1043.44</v>
      </c>
      <c r="K732">
        <v>0.34</v>
      </c>
      <c r="L732" s="1">
        <v>5862.96</v>
      </c>
      <c r="M732" s="1">
        <v>2186.1999999999998</v>
      </c>
      <c r="N732" s="1">
        <v>79.989999999999995</v>
      </c>
      <c r="O732" t="s">
        <v>8</v>
      </c>
      <c r="P732">
        <v>2</v>
      </c>
      <c r="Q732" t="b">
        <v>0</v>
      </c>
      <c r="R732" t="s">
        <v>18</v>
      </c>
      <c r="S732">
        <v>6</v>
      </c>
      <c r="T732" t="e">
        <f>IF(#REF!&lt;=25, "Young Age", IF(#REF!&lt;=40, "Mid Age", "Old Age"))</f>
        <v>#REF!</v>
      </c>
      <c r="U732" t="str">
        <f t="shared" si="11"/>
        <v>Delayed</v>
      </c>
    </row>
    <row r="733" spans="1:21" x14ac:dyDescent="0.35">
      <c r="A733" t="s">
        <v>1620</v>
      </c>
      <c r="B733" s="13">
        <v>44356</v>
      </c>
      <c r="C733" t="s">
        <v>1621</v>
      </c>
      <c r="D733" t="s">
        <v>47</v>
      </c>
      <c r="E733" t="s">
        <v>89</v>
      </c>
      <c r="F733" t="s">
        <v>90</v>
      </c>
      <c r="G733" t="s">
        <v>23</v>
      </c>
      <c r="H733" t="s">
        <v>164</v>
      </c>
      <c r="I733">
        <v>3</v>
      </c>
      <c r="J733" s="1">
        <v>33795.769999999997</v>
      </c>
      <c r="K733">
        <v>0.35</v>
      </c>
      <c r="L733" s="1">
        <v>90617.58</v>
      </c>
      <c r="M733" s="1">
        <v>32809.370000000003</v>
      </c>
      <c r="N733" s="1">
        <v>71.569999999999993</v>
      </c>
      <c r="O733" t="s">
        <v>57</v>
      </c>
      <c r="P733">
        <v>5</v>
      </c>
      <c r="Q733" t="b">
        <v>0</v>
      </c>
      <c r="R733" t="s">
        <v>18</v>
      </c>
      <c r="S733">
        <v>9</v>
      </c>
      <c r="T733" t="e">
        <f>IF(#REF!&lt;=25, "Young Age", IF(#REF!&lt;=40, "Mid Age", "Old Age"))</f>
        <v>#REF!</v>
      </c>
      <c r="U733" t="str">
        <f t="shared" si="11"/>
        <v>Over Delayed</v>
      </c>
    </row>
    <row r="734" spans="1:21" x14ac:dyDescent="0.35">
      <c r="A734" t="s">
        <v>1622</v>
      </c>
      <c r="B734" s="13">
        <v>45410</v>
      </c>
      <c r="C734" t="s">
        <v>1623</v>
      </c>
      <c r="D734" t="s">
        <v>3</v>
      </c>
      <c r="E734" t="s">
        <v>4</v>
      </c>
      <c r="F734" t="s">
        <v>5</v>
      </c>
      <c r="G734" t="s">
        <v>41</v>
      </c>
      <c r="H734" t="s">
        <v>42</v>
      </c>
      <c r="I734">
        <v>9</v>
      </c>
      <c r="J734" s="1">
        <v>499.65</v>
      </c>
      <c r="K734">
        <v>0.02</v>
      </c>
      <c r="L734" s="1">
        <v>7343.37</v>
      </c>
      <c r="M734" s="1">
        <v>2521.34</v>
      </c>
      <c r="N734" s="1">
        <v>39.04</v>
      </c>
      <c r="O734" t="s">
        <v>49</v>
      </c>
      <c r="P734">
        <v>2</v>
      </c>
      <c r="Q734" t="b">
        <v>0</v>
      </c>
      <c r="R734" t="s">
        <v>18</v>
      </c>
      <c r="S734">
        <v>2</v>
      </c>
      <c r="T734" t="e">
        <f>IF(#REF!&lt;=25, "Young Age", IF(#REF!&lt;=40, "Mid Age", "Old Age"))</f>
        <v>#REF!</v>
      </c>
      <c r="U734" t="str">
        <f t="shared" si="11"/>
        <v>Okay</v>
      </c>
    </row>
    <row r="735" spans="1:21" x14ac:dyDescent="0.35">
      <c r="A735" t="s">
        <v>1624</v>
      </c>
      <c r="B735" s="13">
        <v>43888</v>
      </c>
      <c r="C735" t="s">
        <v>1625</v>
      </c>
      <c r="D735" t="s">
        <v>47</v>
      </c>
      <c r="E735" t="s">
        <v>89</v>
      </c>
      <c r="F735" t="s">
        <v>119</v>
      </c>
      <c r="G735" t="s">
        <v>23</v>
      </c>
      <c r="H735" t="s">
        <v>95</v>
      </c>
      <c r="I735">
        <v>5</v>
      </c>
      <c r="J735" s="1">
        <v>32167.65</v>
      </c>
      <c r="K735">
        <v>0</v>
      </c>
      <c r="L735" s="1">
        <v>138458.15</v>
      </c>
      <c r="M735" s="1">
        <v>39811.269999999997</v>
      </c>
      <c r="N735" s="1">
        <v>58.32</v>
      </c>
      <c r="O735" t="s">
        <v>43</v>
      </c>
      <c r="P735">
        <v>5</v>
      </c>
      <c r="Q735" t="b">
        <v>0</v>
      </c>
      <c r="R735" t="s">
        <v>18</v>
      </c>
      <c r="S735">
        <v>6</v>
      </c>
      <c r="T735" t="e">
        <f>IF(#REF!&lt;=25, "Young Age", IF(#REF!&lt;=40, "Mid Age", "Old Age"))</f>
        <v>#REF!</v>
      </c>
      <c r="U735" t="str">
        <f t="shared" si="11"/>
        <v>Delayed</v>
      </c>
    </row>
    <row r="736" spans="1:21" x14ac:dyDescent="0.35">
      <c r="A736" t="s">
        <v>1626</v>
      </c>
      <c r="B736" s="13">
        <v>45116</v>
      </c>
      <c r="C736" t="s">
        <v>1627</v>
      </c>
      <c r="D736" t="s">
        <v>47</v>
      </c>
      <c r="E736" t="s">
        <v>89</v>
      </c>
      <c r="F736" t="s">
        <v>99</v>
      </c>
      <c r="G736" t="s">
        <v>41</v>
      </c>
      <c r="H736" t="s">
        <v>42</v>
      </c>
      <c r="I736">
        <v>7</v>
      </c>
      <c r="J736" s="1">
        <v>900.55</v>
      </c>
      <c r="K736">
        <v>0.37</v>
      </c>
      <c r="L736" s="1">
        <v>6552.28</v>
      </c>
      <c r="M736" s="1">
        <v>1538.11</v>
      </c>
      <c r="N736" s="1">
        <v>67.3</v>
      </c>
      <c r="O736" t="s">
        <v>36</v>
      </c>
      <c r="P736">
        <v>5</v>
      </c>
      <c r="Q736" t="b">
        <v>0</v>
      </c>
      <c r="R736" t="s">
        <v>18</v>
      </c>
      <c r="S736">
        <v>3</v>
      </c>
      <c r="T736" t="e">
        <f>IF(#REF!&lt;=25, "Young Age", IF(#REF!&lt;=40, "Mid Age", "Old Age"))</f>
        <v>#REF!</v>
      </c>
      <c r="U736" t="str">
        <f t="shared" si="11"/>
        <v>Okay</v>
      </c>
    </row>
    <row r="737" spans="1:21" x14ac:dyDescent="0.35">
      <c r="A737" t="s">
        <v>1628</v>
      </c>
      <c r="B737" s="13">
        <v>44333</v>
      </c>
      <c r="C737" t="s">
        <v>1629</v>
      </c>
      <c r="D737" t="s">
        <v>47</v>
      </c>
      <c r="E737" t="s">
        <v>53</v>
      </c>
      <c r="F737" t="s">
        <v>114</v>
      </c>
      <c r="G737" t="s">
        <v>105</v>
      </c>
      <c r="H737" t="s">
        <v>174</v>
      </c>
      <c r="I737">
        <v>7</v>
      </c>
      <c r="J737" s="1">
        <v>46170.239999999998</v>
      </c>
      <c r="K737">
        <v>0.37</v>
      </c>
      <c r="L737" s="1">
        <v>258421.55</v>
      </c>
      <c r="M737" s="1">
        <v>33391.1</v>
      </c>
      <c r="N737" s="1">
        <v>40.35</v>
      </c>
      <c r="O737" t="s">
        <v>36</v>
      </c>
      <c r="P737">
        <v>5</v>
      </c>
      <c r="Q737" t="b">
        <v>0</v>
      </c>
      <c r="R737" t="s">
        <v>18</v>
      </c>
      <c r="S737">
        <v>2</v>
      </c>
      <c r="T737" t="e">
        <f>IF(#REF!&lt;=25, "Young Age", IF(#REF!&lt;=40, "Mid Age", "Old Age"))</f>
        <v>#REF!</v>
      </c>
      <c r="U737" t="str">
        <f t="shared" si="11"/>
        <v>Okay</v>
      </c>
    </row>
    <row r="738" spans="1:21" x14ac:dyDescent="0.35">
      <c r="A738" t="s">
        <v>168</v>
      </c>
      <c r="B738" s="13">
        <v>44506</v>
      </c>
      <c r="C738" t="s">
        <v>169</v>
      </c>
      <c r="D738" t="s">
        <v>3</v>
      </c>
      <c r="E738" t="s">
        <v>53</v>
      </c>
      <c r="F738" t="s">
        <v>170</v>
      </c>
      <c r="G738" t="s">
        <v>41</v>
      </c>
      <c r="H738" t="s">
        <v>129</v>
      </c>
      <c r="I738">
        <v>4</v>
      </c>
      <c r="J738" s="1">
        <v>1350.95</v>
      </c>
      <c r="K738">
        <v>0.21</v>
      </c>
      <c r="L738" s="1">
        <v>3635.51</v>
      </c>
      <c r="M738" s="1">
        <v>1854.28</v>
      </c>
      <c r="N738" s="1">
        <v>44.83</v>
      </c>
      <c r="O738" t="s">
        <v>49</v>
      </c>
      <c r="P738">
        <v>3</v>
      </c>
      <c r="Q738" t="b">
        <v>0</v>
      </c>
      <c r="R738" t="s">
        <v>18</v>
      </c>
      <c r="S738">
        <v>2</v>
      </c>
      <c r="T738" t="e">
        <f>IF(#REF!&lt;=25, "Young Age", IF(#REF!&lt;=40, "Mid Age", "Old Age"))</f>
        <v>#REF!</v>
      </c>
      <c r="U738" t="str">
        <f t="shared" si="11"/>
        <v>Okay</v>
      </c>
    </row>
    <row r="739" spans="1:21" x14ac:dyDescent="0.35">
      <c r="A739" t="s">
        <v>1630</v>
      </c>
      <c r="B739" s="13">
        <v>44503</v>
      </c>
      <c r="C739" t="s">
        <v>1631</v>
      </c>
      <c r="D739" t="s">
        <v>13</v>
      </c>
      <c r="E739" t="s">
        <v>4</v>
      </c>
      <c r="F739" t="s">
        <v>48</v>
      </c>
      <c r="G739" t="s">
        <v>16</v>
      </c>
      <c r="H739" t="s">
        <v>17</v>
      </c>
      <c r="I739">
        <v>4</v>
      </c>
      <c r="J739" s="1">
        <v>2378.5700000000002</v>
      </c>
      <c r="K739">
        <v>0.06</v>
      </c>
      <c r="L739" s="1">
        <v>9023.4</v>
      </c>
      <c r="M739" s="1">
        <v>4079.28</v>
      </c>
      <c r="N739" s="1">
        <v>68.11</v>
      </c>
      <c r="O739" t="s">
        <v>30</v>
      </c>
      <c r="P739">
        <v>4</v>
      </c>
      <c r="Q739" t="b">
        <v>0</v>
      </c>
      <c r="R739" t="s">
        <v>18</v>
      </c>
      <c r="S739">
        <v>7</v>
      </c>
      <c r="T739" t="e">
        <f>IF(#REF!&lt;=25, "Young Age", IF(#REF!&lt;=40, "Mid Age", "Old Age"))</f>
        <v>#REF!</v>
      </c>
      <c r="U739" t="str">
        <f t="shared" si="11"/>
        <v>Delayed</v>
      </c>
    </row>
    <row r="740" spans="1:21" x14ac:dyDescent="0.35">
      <c r="A740" t="s">
        <v>1632</v>
      </c>
      <c r="B740" s="13">
        <v>45483</v>
      </c>
      <c r="C740" t="s">
        <v>1633</v>
      </c>
      <c r="D740" t="s">
        <v>47</v>
      </c>
      <c r="E740" t="s">
        <v>89</v>
      </c>
      <c r="F740" t="s">
        <v>299</v>
      </c>
      <c r="G740" t="s">
        <v>124</v>
      </c>
      <c r="H740" t="s">
        <v>413</v>
      </c>
      <c r="I740">
        <v>10</v>
      </c>
      <c r="J740" s="1">
        <v>9793.2999999999993</v>
      </c>
      <c r="K740">
        <v>0.26</v>
      </c>
      <c r="L740" s="1">
        <v>101289.99</v>
      </c>
      <c r="M740" s="1">
        <v>21064.94</v>
      </c>
      <c r="N740" s="1">
        <v>62.81</v>
      </c>
      <c r="O740" t="s">
        <v>43</v>
      </c>
      <c r="P740">
        <v>2</v>
      </c>
      <c r="Q740" t="b">
        <v>0</v>
      </c>
      <c r="R740" t="s">
        <v>18</v>
      </c>
      <c r="S740">
        <v>9</v>
      </c>
      <c r="T740" t="e">
        <f>IF(#REF!&lt;=25, "Young Age", IF(#REF!&lt;=40, "Mid Age", "Old Age"))</f>
        <v>#REF!</v>
      </c>
      <c r="U740" t="str">
        <f t="shared" si="11"/>
        <v>Over Delayed</v>
      </c>
    </row>
    <row r="741" spans="1:21" x14ac:dyDescent="0.35">
      <c r="A741" t="s">
        <v>1634</v>
      </c>
      <c r="B741" s="13">
        <v>44974</v>
      </c>
      <c r="C741" t="s">
        <v>1635</v>
      </c>
      <c r="D741" t="s">
        <v>13</v>
      </c>
      <c r="E741" t="s">
        <v>61</v>
      </c>
      <c r="F741" t="s">
        <v>271</v>
      </c>
      <c r="G741" t="s">
        <v>41</v>
      </c>
      <c r="H741" t="s">
        <v>85</v>
      </c>
      <c r="I741">
        <v>8</v>
      </c>
      <c r="J741" s="1">
        <v>935.46</v>
      </c>
      <c r="K741">
        <v>0.12</v>
      </c>
      <c r="L741" s="1">
        <v>6567.18</v>
      </c>
      <c r="M741" s="1">
        <v>3099.56</v>
      </c>
      <c r="N741" s="1">
        <v>73.180000000000007</v>
      </c>
      <c r="O741" t="s">
        <v>43</v>
      </c>
      <c r="P741" t="s">
        <v>2149</v>
      </c>
      <c r="Q741" t="b">
        <v>0</v>
      </c>
      <c r="R741" t="s">
        <v>578</v>
      </c>
      <c r="S741">
        <v>8</v>
      </c>
      <c r="T741" t="e">
        <f>IF(#REF!&lt;=25, "Young Age", IF(#REF!&lt;=40, "Mid Age", "Old Age"))</f>
        <v>#REF!</v>
      </c>
      <c r="U741" t="str">
        <f t="shared" si="11"/>
        <v>Over Delayed</v>
      </c>
    </row>
    <row r="742" spans="1:21" x14ac:dyDescent="0.35">
      <c r="A742" t="s">
        <v>1636</v>
      </c>
      <c r="B742" s="13">
        <v>44894</v>
      </c>
      <c r="C742" t="s">
        <v>1637</v>
      </c>
      <c r="D742" t="s">
        <v>13</v>
      </c>
      <c r="E742" t="s">
        <v>61</v>
      </c>
      <c r="F742" t="s">
        <v>62</v>
      </c>
      <c r="G742" t="s">
        <v>23</v>
      </c>
      <c r="H742" t="s">
        <v>95</v>
      </c>
      <c r="I742">
        <v>9</v>
      </c>
      <c r="J742" s="1">
        <v>23692.77</v>
      </c>
      <c r="K742">
        <v>0.01</v>
      </c>
      <c r="L742" s="1">
        <v>189801.32</v>
      </c>
      <c r="M742" s="1">
        <v>55495.95</v>
      </c>
      <c r="N742" s="1">
        <v>85.76</v>
      </c>
      <c r="O742" t="s">
        <v>43</v>
      </c>
      <c r="P742" t="s">
        <v>2149</v>
      </c>
      <c r="Q742" t="b">
        <v>0</v>
      </c>
      <c r="R742" t="s">
        <v>18</v>
      </c>
      <c r="S742">
        <v>3</v>
      </c>
      <c r="T742" t="e">
        <f>IF(#REF!&lt;=25, "Young Age", IF(#REF!&lt;=40, "Mid Age", "Old Age"))</f>
        <v>#REF!</v>
      </c>
      <c r="U742" t="str">
        <f t="shared" si="11"/>
        <v>Okay</v>
      </c>
    </row>
    <row r="743" spans="1:21" x14ac:dyDescent="0.35">
      <c r="A743" t="s">
        <v>1638</v>
      </c>
      <c r="B743" s="13">
        <v>45272</v>
      </c>
      <c r="C743" t="s">
        <v>1639</v>
      </c>
      <c r="D743" t="s">
        <v>3</v>
      </c>
      <c r="E743" t="s">
        <v>14</v>
      </c>
      <c r="F743" t="s">
        <v>15</v>
      </c>
      <c r="G743" t="s">
        <v>105</v>
      </c>
      <c r="H743" t="s">
        <v>282</v>
      </c>
      <c r="I743">
        <v>5</v>
      </c>
      <c r="J743" s="1">
        <v>67132.789999999994</v>
      </c>
      <c r="K743">
        <v>0.13</v>
      </c>
      <c r="L743" s="1">
        <v>259751.74</v>
      </c>
      <c r="M743" s="1">
        <v>31688.42</v>
      </c>
      <c r="N743" s="1">
        <v>67.599999999999994</v>
      </c>
      <c r="O743" t="s">
        <v>43</v>
      </c>
      <c r="P743">
        <v>5</v>
      </c>
      <c r="Q743" t="b">
        <v>0</v>
      </c>
      <c r="R743" t="s">
        <v>18</v>
      </c>
      <c r="S743">
        <v>3</v>
      </c>
      <c r="T743" t="e">
        <f>IF(#REF!&lt;=25, "Young Age", IF(#REF!&lt;=40, "Mid Age", "Old Age"))</f>
        <v>#REF!</v>
      </c>
      <c r="U743" t="str">
        <f t="shared" si="11"/>
        <v>Okay</v>
      </c>
    </row>
    <row r="744" spans="1:21" x14ac:dyDescent="0.35">
      <c r="A744" t="s">
        <v>1640</v>
      </c>
      <c r="B744" s="13">
        <v>45234</v>
      </c>
      <c r="C744" t="s">
        <v>1641</v>
      </c>
      <c r="D744" t="s">
        <v>47</v>
      </c>
      <c r="E744" t="s">
        <v>53</v>
      </c>
      <c r="F744" t="s">
        <v>79</v>
      </c>
      <c r="G744" t="s">
        <v>105</v>
      </c>
      <c r="H744" t="s">
        <v>149</v>
      </c>
      <c r="I744">
        <v>10</v>
      </c>
      <c r="J744" s="1">
        <v>33487.31</v>
      </c>
      <c r="K744">
        <v>0.11</v>
      </c>
      <c r="L744" s="1">
        <v>270538.05</v>
      </c>
      <c r="M744" s="1">
        <v>34449.129999999997</v>
      </c>
      <c r="N744" s="1">
        <v>64.650000000000006</v>
      </c>
      <c r="O744" t="s">
        <v>30</v>
      </c>
      <c r="P744" t="s">
        <v>2149</v>
      </c>
      <c r="Q744" t="b">
        <v>0</v>
      </c>
      <c r="R744" t="s">
        <v>18</v>
      </c>
      <c r="S744">
        <v>9</v>
      </c>
      <c r="T744" t="e">
        <f>IF(#REF!&lt;=25, "Young Age", IF(#REF!&lt;=40, "Mid Age", "Old Age"))</f>
        <v>#REF!</v>
      </c>
      <c r="U744" t="str">
        <f t="shared" si="11"/>
        <v>Over Delayed</v>
      </c>
    </row>
    <row r="745" spans="1:21" x14ac:dyDescent="0.35">
      <c r="A745" t="s">
        <v>1642</v>
      </c>
      <c r="B745" s="13">
        <v>44868</v>
      </c>
      <c r="C745" t="s">
        <v>1643</v>
      </c>
      <c r="D745" t="s">
        <v>3</v>
      </c>
      <c r="E745" t="s">
        <v>53</v>
      </c>
      <c r="F745" t="s">
        <v>114</v>
      </c>
      <c r="G745" t="s">
        <v>105</v>
      </c>
      <c r="H745" t="s">
        <v>149</v>
      </c>
      <c r="I745">
        <v>7</v>
      </c>
      <c r="J745" s="1">
        <v>51313.1</v>
      </c>
      <c r="K745">
        <v>0.04</v>
      </c>
      <c r="L745" s="1">
        <v>374026.43</v>
      </c>
      <c r="M745" s="1">
        <v>48251.12</v>
      </c>
      <c r="N745" s="1">
        <v>70.930000000000007</v>
      </c>
      <c r="O745" t="s">
        <v>49</v>
      </c>
      <c r="P745">
        <v>5</v>
      </c>
      <c r="Q745" t="b">
        <v>0</v>
      </c>
      <c r="R745" t="s">
        <v>18</v>
      </c>
      <c r="S745">
        <v>1</v>
      </c>
      <c r="T745" t="e">
        <f>IF(#REF!&lt;=25, "Young Age", IF(#REF!&lt;=40, "Mid Age", "Old Age"))</f>
        <v>#REF!</v>
      </c>
      <c r="U745" t="str">
        <f t="shared" si="11"/>
        <v>Okay</v>
      </c>
    </row>
    <row r="746" spans="1:21" x14ac:dyDescent="0.35">
      <c r="A746" t="s">
        <v>1644</v>
      </c>
      <c r="B746" s="13">
        <v>45377</v>
      </c>
      <c r="C746" t="s">
        <v>1645</v>
      </c>
      <c r="D746" t="s">
        <v>47</v>
      </c>
      <c r="E746" t="s">
        <v>4</v>
      </c>
      <c r="F746" t="s">
        <v>34</v>
      </c>
      <c r="G746" t="s">
        <v>124</v>
      </c>
      <c r="H746" t="s">
        <v>125</v>
      </c>
      <c r="I746">
        <v>4</v>
      </c>
      <c r="J746" s="1">
        <v>1266.6400000000001</v>
      </c>
      <c r="K746">
        <v>0.09</v>
      </c>
      <c r="L746" s="1">
        <v>6923.51</v>
      </c>
      <c r="M746" s="1">
        <v>754.21</v>
      </c>
      <c r="N746" s="1">
        <v>67.58</v>
      </c>
      <c r="O746" t="s">
        <v>36</v>
      </c>
      <c r="P746">
        <v>3</v>
      </c>
      <c r="Q746" t="b">
        <v>0</v>
      </c>
      <c r="R746" t="s">
        <v>18</v>
      </c>
      <c r="S746">
        <v>3</v>
      </c>
      <c r="T746" t="e">
        <f>IF(#REF!&lt;=25, "Young Age", IF(#REF!&lt;=40, "Mid Age", "Old Age"))</f>
        <v>#REF!</v>
      </c>
      <c r="U746" t="str">
        <f t="shared" si="11"/>
        <v>Okay</v>
      </c>
    </row>
    <row r="747" spans="1:21" x14ac:dyDescent="0.35">
      <c r="A747" t="s">
        <v>1646</v>
      </c>
      <c r="B747" s="13">
        <v>44694</v>
      </c>
      <c r="C747" t="s">
        <v>1647</v>
      </c>
      <c r="D747" t="s">
        <v>13</v>
      </c>
      <c r="E747" t="s">
        <v>61</v>
      </c>
      <c r="F747" t="s">
        <v>62</v>
      </c>
      <c r="G747" t="s">
        <v>6</v>
      </c>
      <c r="H747" t="s">
        <v>35</v>
      </c>
      <c r="I747">
        <v>3</v>
      </c>
      <c r="J747" s="1">
        <v>284.88</v>
      </c>
      <c r="K747">
        <v>0.26</v>
      </c>
      <c r="L747" s="1">
        <v>817.39</v>
      </c>
      <c r="M747" s="1">
        <v>50.93</v>
      </c>
      <c r="N747" s="1">
        <v>105.48</v>
      </c>
      <c r="O747" t="s">
        <v>57</v>
      </c>
      <c r="P747">
        <v>3</v>
      </c>
      <c r="Q747" t="b">
        <v>1</v>
      </c>
      <c r="R747" t="s">
        <v>9</v>
      </c>
      <c r="S747">
        <v>10</v>
      </c>
      <c r="T747" t="e">
        <f>IF(#REF!&lt;=25, "Young Age", IF(#REF!&lt;=40, "Mid Age", "Old Age"))</f>
        <v>#REF!</v>
      </c>
      <c r="U747" t="str">
        <f t="shared" si="11"/>
        <v>Over Delayed</v>
      </c>
    </row>
    <row r="748" spans="1:21" x14ac:dyDescent="0.35">
      <c r="A748" t="s">
        <v>1648</v>
      </c>
      <c r="B748" s="13">
        <v>45550</v>
      </c>
      <c r="C748" t="s">
        <v>1649</v>
      </c>
      <c r="D748" t="s">
        <v>13</v>
      </c>
      <c r="E748" t="s">
        <v>89</v>
      </c>
      <c r="F748" t="s">
        <v>99</v>
      </c>
      <c r="G748" t="s">
        <v>124</v>
      </c>
      <c r="H748" t="s">
        <v>125</v>
      </c>
      <c r="I748">
        <v>2</v>
      </c>
      <c r="J748" s="1">
        <v>10400.51</v>
      </c>
      <c r="K748">
        <v>0.39</v>
      </c>
      <c r="L748" s="1">
        <v>16571.32</v>
      </c>
      <c r="M748" s="1">
        <v>3945.31</v>
      </c>
      <c r="N748" s="1">
        <v>79.88</v>
      </c>
      <c r="O748" t="s">
        <v>30</v>
      </c>
      <c r="P748">
        <v>2</v>
      </c>
      <c r="Q748" t="b">
        <v>0</v>
      </c>
      <c r="R748" t="s">
        <v>18</v>
      </c>
      <c r="S748">
        <v>5</v>
      </c>
      <c r="T748" t="e">
        <f>IF(#REF!&lt;=25, "Young Age", IF(#REF!&lt;=40, "Mid Age", "Old Age"))</f>
        <v>#REF!</v>
      </c>
      <c r="U748" t="str">
        <f t="shared" si="11"/>
        <v>Delayed</v>
      </c>
    </row>
    <row r="749" spans="1:21" x14ac:dyDescent="0.35">
      <c r="A749" t="s">
        <v>1650</v>
      </c>
      <c r="B749" s="13">
        <v>44183</v>
      </c>
      <c r="C749" t="s">
        <v>1651</v>
      </c>
      <c r="D749" t="s">
        <v>47</v>
      </c>
      <c r="E749" t="s">
        <v>53</v>
      </c>
      <c r="F749" t="s">
        <v>170</v>
      </c>
      <c r="G749" t="s">
        <v>124</v>
      </c>
      <c r="H749" t="s">
        <v>413</v>
      </c>
      <c r="I749">
        <v>3</v>
      </c>
      <c r="J749" s="1">
        <v>3464.74</v>
      </c>
      <c r="K749">
        <v>0.22</v>
      </c>
      <c r="L749" s="1">
        <v>5170.4799999999996</v>
      </c>
      <c r="M749" s="1">
        <v>757.08</v>
      </c>
      <c r="N749" s="1">
        <v>50.42</v>
      </c>
      <c r="O749" t="s">
        <v>36</v>
      </c>
      <c r="P749">
        <v>3</v>
      </c>
      <c r="Q749" t="b">
        <v>0</v>
      </c>
      <c r="R749" t="s">
        <v>18</v>
      </c>
      <c r="S749">
        <v>7</v>
      </c>
      <c r="T749" t="e">
        <f>IF(#REF!&lt;=25, "Young Age", IF(#REF!&lt;=40, "Mid Age", "Old Age"))</f>
        <v>#REF!</v>
      </c>
      <c r="U749" t="str">
        <f t="shared" si="11"/>
        <v>Delayed</v>
      </c>
    </row>
    <row r="750" spans="1:21" x14ac:dyDescent="0.35">
      <c r="A750" t="s">
        <v>1652</v>
      </c>
      <c r="B750" s="13">
        <v>44751</v>
      </c>
      <c r="C750" t="s">
        <v>1653</v>
      </c>
      <c r="D750" t="s">
        <v>47</v>
      </c>
      <c r="E750" t="s">
        <v>89</v>
      </c>
      <c r="F750" t="s">
        <v>90</v>
      </c>
      <c r="G750" t="s">
        <v>105</v>
      </c>
      <c r="H750" t="s">
        <v>282</v>
      </c>
      <c r="I750">
        <v>4</v>
      </c>
      <c r="J750" s="1">
        <v>6126.05</v>
      </c>
      <c r="K750">
        <v>0.17</v>
      </c>
      <c r="L750" s="1">
        <v>32461.48</v>
      </c>
      <c r="M750" s="1">
        <v>3172.94</v>
      </c>
      <c r="N750" s="1">
        <v>65.78</v>
      </c>
      <c r="O750" t="s">
        <v>30</v>
      </c>
      <c r="P750">
        <v>4</v>
      </c>
      <c r="Q750" t="b">
        <v>0</v>
      </c>
      <c r="R750" t="s">
        <v>18</v>
      </c>
      <c r="S750">
        <v>10</v>
      </c>
      <c r="T750" t="e">
        <f>IF(#REF!&lt;=25, "Young Age", IF(#REF!&lt;=40, "Mid Age", "Old Age"))</f>
        <v>#REF!</v>
      </c>
      <c r="U750" t="str">
        <f t="shared" si="11"/>
        <v>Over Delayed</v>
      </c>
    </row>
    <row r="751" spans="1:21" x14ac:dyDescent="0.35">
      <c r="A751" t="s">
        <v>1654</v>
      </c>
      <c r="B751" s="13">
        <v>44519</v>
      </c>
      <c r="C751" t="s">
        <v>1655</v>
      </c>
      <c r="D751" t="s">
        <v>13</v>
      </c>
      <c r="E751" t="s">
        <v>53</v>
      </c>
      <c r="F751" t="s">
        <v>54</v>
      </c>
      <c r="G751" t="s">
        <v>105</v>
      </c>
      <c r="H751" t="s">
        <v>149</v>
      </c>
      <c r="I751">
        <v>7</v>
      </c>
      <c r="J751" s="1">
        <v>37336.980000000003</v>
      </c>
      <c r="K751">
        <v>0.14000000000000001</v>
      </c>
      <c r="L751" s="1">
        <v>165469.13</v>
      </c>
      <c r="M751" s="1">
        <v>22951.1</v>
      </c>
      <c r="N751" s="1">
        <v>40.450000000000003</v>
      </c>
      <c r="O751" t="s">
        <v>30</v>
      </c>
      <c r="P751">
        <v>2</v>
      </c>
      <c r="Q751" t="b">
        <v>0</v>
      </c>
      <c r="R751" t="s">
        <v>18</v>
      </c>
      <c r="S751">
        <v>2</v>
      </c>
      <c r="T751" t="e">
        <f>IF(#REF!&lt;=25, "Young Age", IF(#REF!&lt;=40, "Mid Age", "Old Age"))</f>
        <v>#REF!</v>
      </c>
      <c r="U751" t="str">
        <f t="shared" si="11"/>
        <v>Okay</v>
      </c>
    </row>
    <row r="752" spans="1:21" x14ac:dyDescent="0.35">
      <c r="A752" t="s">
        <v>1656</v>
      </c>
      <c r="B752" s="13">
        <v>44652</v>
      </c>
      <c r="C752" t="s">
        <v>1657</v>
      </c>
      <c r="D752" t="s">
        <v>3</v>
      </c>
      <c r="E752" t="s">
        <v>4</v>
      </c>
      <c r="F752" t="s">
        <v>148</v>
      </c>
      <c r="G752" t="s">
        <v>6</v>
      </c>
      <c r="H752" t="s">
        <v>7</v>
      </c>
      <c r="I752">
        <v>3</v>
      </c>
      <c r="J752" s="1">
        <v>303.99</v>
      </c>
      <c r="K752">
        <v>0.4</v>
      </c>
      <c r="L752" s="1">
        <v>728.29</v>
      </c>
      <c r="M752" s="1">
        <v>43.2</v>
      </c>
      <c r="N752" s="1">
        <v>35.74</v>
      </c>
      <c r="O752" t="s">
        <v>8</v>
      </c>
      <c r="P752" t="s">
        <v>2149</v>
      </c>
      <c r="Q752" t="b">
        <v>0</v>
      </c>
      <c r="R752" t="s">
        <v>18</v>
      </c>
      <c r="S752" t="s">
        <v>2149</v>
      </c>
      <c r="T752" t="e">
        <f>IF(#REF!&lt;=25, "Young Age", IF(#REF!&lt;=40, "Mid Age", "Old Age"))</f>
        <v>#REF!</v>
      </c>
      <c r="U752" t="str">
        <f t="shared" si="11"/>
        <v>Over Delayed</v>
      </c>
    </row>
    <row r="753" spans="1:21" x14ac:dyDescent="0.35">
      <c r="A753" t="s">
        <v>1658</v>
      </c>
      <c r="B753" s="13">
        <v>44434</v>
      </c>
      <c r="C753" t="s">
        <v>1659</v>
      </c>
      <c r="D753" t="s">
        <v>3</v>
      </c>
      <c r="E753" t="s">
        <v>53</v>
      </c>
      <c r="F753" t="s">
        <v>79</v>
      </c>
      <c r="G753" t="s">
        <v>6</v>
      </c>
      <c r="H753" t="s">
        <v>35</v>
      </c>
      <c r="I753">
        <v>7</v>
      </c>
      <c r="J753" s="1">
        <v>438.39</v>
      </c>
      <c r="K753">
        <v>0.11</v>
      </c>
      <c r="L753" s="1">
        <v>3296.41</v>
      </c>
      <c r="M753" s="1">
        <v>234.24</v>
      </c>
      <c r="N753" s="1">
        <v>28.61</v>
      </c>
      <c r="O753" t="s">
        <v>49</v>
      </c>
      <c r="P753">
        <v>4</v>
      </c>
      <c r="Q753" t="b">
        <v>0</v>
      </c>
      <c r="R753" t="s">
        <v>115</v>
      </c>
      <c r="S753">
        <v>3</v>
      </c>
      <c r="T753" t="e">
        <f>IF(#REF!&lt;=25, "Young Age", IF(#REF!&lt;=40, "Mid Age", "Old Age"))</f>
        <v>#REF!</v>
      </c>
      <c r="U753" t="str">
        <f t="shared" si="11"/>
        <v>Okay</v>
      </c>
    </row>
    <row r="754" spans="1:21" x14ac:dyDescent="0.35">
      <c r="A754" t="s">
        <v>1660</v>
      </c>
      <c r="B754" s="13">
        <v>44159</v>
      </c>
      <c r="C754" t="s">
        <v>1661</v>
      </c>
      <c r="D754" t="s">
        <v>47</v>
      </c>
      <c r="E754" t="s">
        <v>14</v>
      </c>
      <c r="F754" t="s">
        <v>28</v>
      </c>
      <c r="G754" t="s">
        <v>6</v>
      </c>
      <c r="H754" t="s">
        <v>353</v>
      </c>
      <c r="I754">
        <v>6</v>
      </c>
      <c r="J754" s="1">
        <v>79.33</v>
      </c>
      <c r="K754">
        <v>0.21</v>
      </c>
      <c r="L754" s="1">
        <v>270.5</v>
      </c>
      <c r="M754" s="1">
        <v>23.07</v>
      </c>
      <c r="N754" s="1">
        <v>33.119999999999997</v>
      </c>
      <c r="O754" t="s">
        <v>36</v>
      </c>
      <c r="P754">
        <v>1</v>
      </c>
      <c r="Q754" t="b">
        <v>0</v>
      </c>
      <c r="R754" t="s">
        <v>18</v>
      </c>
      <c r="S754">
        <v>2</v>
      </c>
      <c r="T754" t="e">
        <f>IF(#REF!&lt;=25, "Young Age", IF(#REF!&lt;=40, "Mid Age", "Old Age"))</f>
        <v>#REF!</v>
      </c>
      <c r="U754" t="str">
        <f t="shared" si="11"/>
        <v>Okay</v>
      </c>
    </row>
    <row r="755" spans="1:21" x14ac:dyDescent="0.35">
      <c r="A755" t="s">
        <v>1662</v>
      </c>
      <c r="B755" s="13">
        <v>44166</v>
      </c>
      <c r="C755" t="s">
        <v>1663</v>
      </c>
      <c r="D755" t="s">
        <v>3</v>
      </c>
      <c r="E755" t="s">
        <v>53</v>
      </c>
      <c r="F755" t="s">
        <v>79</v>
      </c>
      <c r="G755" t="s">
        <v>23</v>
      </c>
      <c r="H755" t="s">
        <v>29</v>
      </c>
      <c r="I755">
        <v>10</v>
      </c>
      <c r="J755" s="1">
        <v>19507.14</v>
      </c>
      <c r="K755">
        <v>0.23</v>
      </c>
      <c r="L755" s="1">
        <v>102410.73</v>
      </c>
      <c r="M755" s="1">
        <v>29631.5</v>
      </c>
      <c r="N755" s="1">
        <v>47.48</v>
      </c>
      <c r="O755" t="s">
        <v>8</v>
      </c>
      <c r="P755">
        <v>2</v>
      </c>
      <c r="Q755" t="b">
        <v>1</v>
      </c>
      <c r="R755" t="s">
        <v>9</v>
      </c>
      <c r="S755">
        <v>2</v>
      </c>
      <c r="T755" t="e">
        <f>IF(#REF!&lt;=25, "Young Age", IF(#REF!&lt;=40, "Mid Age", "Old Age"))</f>
        <v>#REF!</v>
      </c>
      <c r="U755" t="str">
        <f t="shared" si="11"/>
        <v>Okay</v>
      </c>
    </row>
    <row r="756" spans="1:21" x14ac:dyDescent="0.35">
      <c r="A756" t="s">
        <v>1664</v>
      </c>
      <c r="B756" s="13">
        <v>44303</v>
      </c>
      <c r="C756" t="s">
        <v>1665</v>
      </c>
      <c r="D756" t="s">
        <v>3</v>
      </c>
      <c r="E756" t="s">
        <v>89</v>
      </c>
      <c r="F756" t="s">
        <v>299</v>
      </c>
      <c r="G756" t="s">
        <v>6</v>
      </c>
      <c r="H756" t="s">
        <v>353</v>
      </c>
      <c r="I756">
        <v>7</v>
      </c>
      <c r="J756" s="1">
        <v>481.39</v>
      </c>
      <c r="K756">
        <v>0.2</v>
      </c>
      <c r="L756" s="1">
        <v>3271.29</v>
      </c>
      <c r="M756" s="1">
        <v>361.25</v>
      </c>
      <c r="N756" s="1">
        <v>82.25</v>
      </c>
      <c r="O756" t="s">
        <v>36</v>
      </c>
      <c r="P756">
        <v>1</v>
      </c>
      <c r="Q756" t="b">
        <v>0</v>
      </c>
      <c r="R756" t="s">
        <v>18</v>
      </c>
      <c r="S756">
        <v>7</v>
      </c>
      <c r="T756" t="e">
        <f>IF(#REF!&lt;=25, "Young Age", IF(#REF!&lt;=40, "Mid Age", "Old Age"))</f>
        <v>#REF!</v>
      </c>
      <c r="U756" t="str">
        <f t="shared" si="11"/>
        <v>Delayed</v>
      </c>
    </row>
    <row r="757" spans="1:21" x14ac:dyDescent="0.35">
      <c r="A757" t="s">
        <v>1666</v>
      </c>
      <c r="B757" s="13">
        <v>45240</v>
      </c>
      <c r="C757" t="s">
        <v>1667</v>
      </c>
      <c r="D757" t="s">
        <v>3</v>
      </c>
      <c r="E757" t="s">
        <v>53</v>
      </c>
      <c r="F757" t="s">
        <v>170</v>
      </c>
      <c r="G757" t="s">
        <v>23</v>
      </c>
      <c r="H757" t="s">
        <v>71</v>
      </c>
      <c r="I757">
        <v>7</v>
      </c>
      <c r="J757" s="1">
        <v>31424.240000000002</v>
      </c>
      <c r="K757">
        <v>0.31</v>
      </c>
      <c r="L757" s="1">
        <v>128843.9</v>
      </c>
      <c r="M757" s="1">
        <v>46085.23</v>
      </c>
      <c r="N757" s="1">
        <v>53.66</v>
      </c>
      <c r="O757" t="s">
        <v>8</v>
      </c>
      <c r="P757">
        <v>5</v>
      </c>
      <c r="Q757" t="b">
        <v>0</v>
      </c>
      <c r="R757" t="s">
        <v>175</v>
      </c>
      <c r="S757">
        <v>8</v>
      </c>
      <c r="T757" t="e">
        <f>IF(#REF!&lt;=25, "Young Age", IF(#REF!&lt;=40, "Mid Age", "Old Age"))</f>
        <v>#REF!</v>
      </c>
      <c r="U757" t="str">
        <f t="shared" si="11"/>
        <v>Over Delayed</v>
      </c>
    </row>
    <row r="758" spans="1:21" x14ac:dyDescent="0.35">
      <c r="A758" t="s">
        <v>1668</v>
      </c>
      <c r="B758" s="13">
        <v>44335</v>
      </c>
      <c r="C758" t="s">
        <v>1669</v>
      </c>
      <c r="D758" t="s">
        <v>13</v>
      </c>
      <c r="E758" t="s">
        <v>4</v>
      </c>
      <c r="F758" t="s">
        <v>48</v>
      </c>
      <c r="G758" t="s">
        <v>23</v>
      </c>
      <c r="H758" t="s">
        <v>71</v>
      </c>
      <c r="I758">
        <v>4</v>
      </c>
      <c r="J758" s="1">
        <v>3717.76</v>
      </c>
      <c r="K758">
        <v>0.18</v>
      </c>
      <c r="L758" s="1">
        <v>16660.91</v>
      </c>
      <c r="M758" s="1">
        <v>4463.8999999999996</v>
      </c>
      <c r="N758" s="1">
        <v>8.31</v>
      </c>
      <c r="O758" t="s">
        <v>30</v>
      </c>
      <c r="P758">
        <v>2</v>
      </c>
      <c r="Q758" t="b">
        <v>0</v>
      </c>
      <c r="R758" t="s">
        <v>63</v>
      </c>
      <c r="S758">
        <v>9</v>
      </c>
      <c r="T758" t="e">
        <f>IF(#REF!&lt;=25, "Young Age", IF(#REF!&lt;=40, "Mid Age", "Old Age"))</f>
        <v>#REF!</v>
      </c>
      <c r="U758" t="str">
        <f t="shared" si="11"/>
        <v>Over Delayed</v>
      </c>
    </row>
    <row r="759" spans="1:21" x14ac:dyDescent="0.35">
      <c r="A759" t="s">
        <v>1670</v>
      </c>
      <c r="B759" s="13">
        <v>44528</v>
      </c>
      <c r="C759" t="s">
        <v>1671</v>
      </c>
      <c r="D759" t="s">
        <v>47</v>
      </c>
      <c r="E759" t="s">
        <v>61</v>
      </c>
      <c r="F759" t="s">
        <v>62</v>
      </c>
      <c r="G759" t="s">
        <v>41</v>
      </c>
      <c r="H759" t="s">
        <v>261</v>
      </c>
      <c r="I759">
        <v>6</v>
      </c>
      <c r="J759" s="1">
        <v>730.36</v>
      </c>
      <c r="K759">
        <v>0.27</v>
      </c>
      <c r="L759" s="1">
        <v>2369.15</v>
      </c>
      <c r="M759" s="1">
        <v>1034.9100000000001</v>
      </c>
      <c r="N759" s="1">
        <v>94.11</v>
      </c>
      <c r="O759" t="s">
        <v>43</v>
      </c>
      <c r="P759">
        <v>3</v>
      </c>
      <c r="Q759" t="b">
        <v>0</v>
      </c>
      <c r="R759" t="s">
        <v>18</v>
      </c>
      <c r="S759">
        <v>8</v>
      </c>
      <c r="T759" t="e">
        <f>IF(#REF!&lt;=25, "Young Age", IF(#REF!&lt;=40, "Mid Age", "Old Age"))</f>
        <v>#REF!</v>
      </c>
      <c r="U759" t="str">
        <f t="shared" si="11"/>
        <v>Over Delayed</v>
      </c>
    </row>
    <row r="760" spans="1:21" x14ac:dyDescent="0.35">
      <c r="A760" t="s">
        <v>1672</v>
      </c>
      <c r="B760" s="13">
        <v>43865</v>
      </c>
      <c r="C760" t="s">
        <v>1673</v>
      </c>
      <c r="D760" t="s">
        <v>47</v>
      </c>
      <c r="E760" t="s">
        <v>89</v>
      </c>
      <c r="F760" t="s">
        <v>299</v>
      </c>
      <c r="G760" t="s">
        <v>23</v>
      </c>
      <c r="H760" t="s">
        <v>199</v>
      </c>
      <c r="I760">
        <v>9</v>
      </c>
      <c r="J760" s="1">
        <v>31457.07</v>
      </c>
      <c r="K760">
        <v>0.1</v>
      </c>
      <c r="L760" s="1">
        <v>190620.36</v>
      </c>
      <c r="M760" s="1">
        <v>52175.19</v>
      </c>
      <c r="N760" s="1">
        <v>103.27</v>
      </c>
      <c r="O760" t="s">
        <v>43</v>
      </c>
      <c r="P760">
        <v>3</v>
      </c>
      <c r="Q760" t="b">
        <v>0</v>
      </c>
      <c r="R760" t="s">
        <v>18</v>
      </c>
      <c r="S760">
        <v>6</v>
      </c>
      <c r="T760" t="e">
        <f>IF(#REF!&lt;=25, "Young Age", IF(#REF!&lt;=40, "Mid Age", "Old Age"))</f>
        <v>#REF!</v>
      </c>
      <c r="U760" t="str">
        <f t="shared" si="11"/>
        <v>Delayed</v>
      </c>
    </row>
    <row r="761" spans="1:21" x14ac:dyDescent="0.35">
      <c r="A761" t="s">
        <v>1674</v>
      </c>
      <c r="B761" s="13">
        <v>44310</v>
      </c>
      <c r="C761" t="s">
        <v>1675</v>
      </c>
      <c r="D761" t="s">
        <v>47</v>
      </c>
      <c r="E761" t="s">
        <v>4</v>
      </c>
      <c r="F761" t="s">
        <v>34</v>
      </c>
      <c r="G761" t="s">
        <v>55</v>
      </c>
      <c r="H761" t="s">
        <v>67</v>
      </c>
      <c r="I761">
        <v>9</v>
      </c>
      <c r="J761" s="1">
        <v>905.46</v>
      </c>
      <c r="K761">
        <v>0.26</v>
      </c>
      <c r="L761" s="1">
        <v>6527.94</v>
      </c>
      <c r="M761" s="1">
        <v>2985.32</v>
      </c>
      <c r="N761" s="1">
        <v>40.75</v>
      </c>
      <c r="O761" t="s">
        <v>36</v>
      </c>
      <c r="P761">
        <v>3</v>
      </c>
      <c r="Q761" t="b">
        <v>1</v>
      </c>
      <c r="R761" t="s">
        <v>9</v>
      </c>
      <c r="S761">
        <v>2</v>
      </c>
      <c r="T761" t="e">
        <f>IF(#REF!&lt;=25, "Young Age", IF(#REF!&lt;=40, "Mid Age", "Old Age"))</f>
        <v>#REF!</v>
      </c>
      <c r="U761" t="str">
        <f t="shared" si="11"/>
        <v>Okay</v>
      </c>
    </row>
    <row r="762" spans="1:21" x14ac:dyDescent="0.35">
      <c r="A762" t="s">
        <v>1676</v>
      </c>
      <c r="B762" s="13">
        <v>44206</v>
      </c>
      <c r="C762" t="s">
        <v>1677</v>
      </c>
      <c r="D762" t="s">
        <v>13</v>
      </c>
      <c r="E762" t="s">
        <v>14</v>
      </c>
      <c r="F762" t="s">
        <v>15</v>
      </c>
      <c r="G762" t="s">
        <v>55</v>
      </c>
      <c r="H762" t="s">
        <v>91</v>
      </c>
      <c r="I762">
        <v>1</v>
      </c>
      <c r="J762" s="1">
        <v>3433.94</v>
      </c>
      <c r="K762">
        <v>0.3</v>
      </c>
      <c r="L762" s="1">
        <v>1813.71</v>
      </c>
      <c r="M762" s="1">
        <v>609.25</v>
      </c>
      <c r="N762" s="1">
        <v>67.739999999999995</v>
      </c>
      <c r="O762" t="s">
        <v>30</v>
      </c>
      <c r="P762" t="s">
        <v>2149</v>
      </c>
      <c r="Q762" t="b">
        <v>0</v>
      </c>
      <c r="R762" t="s">
        <v>18</v>
      </c>
      <c r="S762">
        <v>1</v>
      </c>
      <c r="T762" t="e">
        <f>IF(#REF!&lt;=25, "Young Age", IF(#REF!&lt;=40, "Mid Age", "Old Age"))</f>
        <v>#REF!</v>
      </c>
      <c r="U762" t="str">
        <f t="shared" si="11"/>
        <v>Okay</v>
      </c>
    </row>
    <row r="763" spans="1:21" x14ac:dyDescent="0.35">
      <c r="A763" t="s">
        <v>1678</v>
      </c>
      <c r="B763" s="13">
        <v>45386</v>
      </c>
      <c r="C763" t="s">
        <v>1679</v>
      </c>
      <c r="D763" t="s">
        <v>3</v>
      </c>
      <c r="E763" t="s">
        <v>61</v>
      </c>
      <c r="F763" t="s">
        <v>104</v>
      </c>
      <c r="G763" t="s">
        <v>23</v>
      </c>
      <c r="H763" t="s">
        <v>29</v>
      </c>
      <c r="J763" s="1">
        <v>7466.4</v>
      </c>
      <c r="K763">
        <v>0.13</v>
      </c>
      <c r="L763" s="1">
        <v>9242.24</v>
      </c>
      <c r="M763" s="1">
        <v>2505.04</v>
      </c>
      <c r="N763" s="1">
        <v>73.709999999999994</v>
      </c>
      <c r="O763" t="s">
        <v>43</v>
      </c>
      <c r="P763">
        <v>2</v>
      </c>
      <c r="Q763" t="b">
        <v>1</v>
      </c>
      <c r="R763" t="s">
        <v>9</v>
      </c>
      <c r="S763">
        <v>10</v>
      </c>
      <c r="T763" t="e">
        <f>IF(#REF!&lt;=25, "Young Age", IF(#REF!&lt;=40, "Mid Age", "Old Age"))</f>
        <v>#REF!</v>
      </c>
      <c r="U763" t="str">
        <f t="shared" si="11"/>
        <v>Over Delayed</v>
      </c>
    </row>
    <row r="764" spans="1:21" x14ac:dyDescent="0.35">
      <c r="A764" t="s">
        <v>1680</v>
      </c>
      <c r="B764" s="13">
        <v>44393</v>
      </c>
      <c r="C764" t="s">
        <v>1681</v>
      </c>
      <c r="D764" t="s">
        <v>3</v>
      </c>
      <c r="E764" t="s">
        <v>14</v>
      </c>
      <c r="F764" t="s">
        <v>22</v>
      </c>
      <c r="G764" t="s">
        <v>55</v>
      </c>
      <c r="H764" t="s">
        <v>100</v>
      </c>
      <c r="I764">
        <v>3</v>
      </c>
      <c r="J764" s="1">
        <v>1871.08</v>
      </c>
      <c r="K764">
        <v>0.03</v>
      </c>
      <c r="L764" s="1">
        <v>7720.71</v>
      </c>
      <c r="M764" s="1">
        <v>2716.63</v>
      </c>
      <c r="N764" s="1">
        <v>65.48</v>
      </c>
      <c r="O764" t="s">
        <v>43</v>
      </c>
      <c r="P764">
        <v>1</v>
      </c>
      <c r="Q764" t="b">
        <v>0</v>
      </c>
      <c r="R764" t="s">
        <v>175</v>
      </c>
      <c r="S764">
        <v>7</v>
      </c>
      <c r="T764" t="e">
        <f>IF(#REF!&lt;=25, "Young Age", IF(#REF!&lt;=40, "Mid Age", "Old Age"))</f>
        <v>#REF!</v>
      </c>
      <c r="U764" t="str">
        <f t="shared" si="11"/>
        <v>Delayed</v>
      </c>
    </row>
    <row r="765" spans="1:21" x14ac:dyDescent="0.35">
      <c r="A765" t="s">
        <v>1682</v>
      </c>
      <c r="B765" s="13">
        <v>44126</v>
      </c>
      <c r="C765" t="s">
        <v>1683</v>
      </c>
      <c r="D765" t="s">
        <v>13</v>
      </c>
      <c r="E765" t="s">
        <v>61</v>
      </c>
      <c r="F765" t="s">
        <v>271</v>
      </c>
      <c r="G765" t="s">
        <v>105</v>
      </c>
      <c r="H765" t="s">
        <v>438</v>
      </c>
      <c r="I765">
        <v>7</v>
      </c>
      <c r="J765" s="1">
        <v>53035.199999999997</v>
      </c>
      <c r="K765">
        <v>0.26</v>
      </c>
      <c r="L765" s="1">
        <v>212011.56</v>
      </c>
      <c r="M765" s="1">
        <v>26192.61</v>
      </c>
      <c r="N765" s="1">
        <v>82.3</v>
      </c>
      <c r="O765" t="s">
        <v>57</v>
      </c>
      <c r="P765">
        <v>1</v>
      </c>
      <c r="Q765" t="b">
        <v>1</v>
      </c>
      <c r="R765" t="s">
        <v>9</v>
      </c>
      <c r="S765">
        <v>6</v>
      </c>
      <c r="T765" t="e">
        <f>IF(#REF!&lt;=25, "Young Age", IF(#REF!&lt;=40, "Mid Age", "Old Age"))</f>
        <v>#REF!</v>
      </c>
      <c r="U765" t="str">
        <f t="shared" si="11"/>
        <v>Delayed</v>
      </c>
    </row>
    <row r="766" spans="1:21" x14ac:dyDescent="0.35">
      <c r="A766" t="s">
        <v>1684</v>
      </c>
      <c r="B766" s="13">
        <v>44226</v>
      </c>
      <c r="C766" t="s">
        <v>1685</v>
      </c>
      <c r="D766" t="s">
        <v>13</v>
      </c>
      <c r="E766" t="s">
        <v>4</v>
      </c>
      <c r="F766" t="s">
        <v>48</v>
      </c>
      <c r="G766" t="s">
        <v>105</v>
      </c>
      <c r="H766" t="s">
        <v>106</v>
      </c>
      <c r="I766">
        <v>3</v>
      </c>
      <c r="J766" s="1">
        <v>69155.55</v>
      </c>
      <c r="K766">
        <v>0.25</v>
      </c>
      <c r="L766" s="1">
        <v>102960.53</v>
      </c>
      <c r="M766" s="1">
        <v>11911.08</v>
      </c>
      <c r="N766" s="1">
        <v>54.42</v>
      </c>
      <c r="O766" t="s">
        <v>30</v>
      </c>
      <c r="P766">
        <v>3</v>
      </c>
      <c r="Q766" t="b">
        <v>0</v>
      </c>
      <c r="R766" t="s">
        <v>18</v>
      </c>
      <c r="S766">
        <v>9</v>
      </c>
      <c r="T766" t="e">
        <f>IF(#REF!&lt;=25, "Young Age", IF(#REF!&lt;=40, "Mid Age", "Old Age"))</f>
        <v>#REF!</v>
      </c>
      <c r="U766" t="str">
        <f t="shared" si="11"/>
        <v>Over Delayed</v>
      </c>
    </row>
    <row r="767" spans="1:21" x14ac:dyDescent="0.35">
      <c r="A767" t="s">
        <v>1686</v>
      </c>
      <c r="B767" s="13">
        <v>44987</v>
      </c>
      <c r="C767" t="s">
        <v>1687</v>
      </c>
      <c r="D767" t="s">
        <v>13</v>
      </c>
      <c r="E767" t="s">
        <v>53</v>
      </c>
      <c r="F767" t="s">
        <v>114</v>
      </c>
      <c r="G767" t="s">
        <v>16</v>
      </c>
      <c r="H767" t="s">
        <v>160</v>
      </c>
      <c r="I767">
        <v>2</v>
      </c>
      <c r="J767" s="1">
        <v>920.67</v>
      </c>
      <c r="K767">
        <v>0.24</v>
      </c>
      <c r="L767" s="1">
        <v>1821.82</v>
      </c>
      <c r="M767" s="1">
        <v>918.21</v>
      </c>
      <c r="N767" s="1">
        <v>61.3</v>
      </c>
      <c r="O767" t="s">
        <v>49</v>
      </c>
      <c r="P767">
        <v>4</v>
      </c>
      <c r="Q767" t="b">
        <v>0</v>
      </c>
      <c r="R767" t="s">
        <v>18</v>
      </c>
      <c r="S767">
        <v>3</v>
      </c>
      <c r="T767" t="e">
        <f>IF(#REF!&lt;=25, "Young Age", IF(#REF!&lt;=40, "Mid Age", "Old Age"))</f>
        <v>#REF!</v>
      </c>
      <c r="U767" t="str">
        <f t="shared" si="11"/>
        <v>Okay</v>
      </c>
    </row>
    <row r="768" spans="1:21" x14ac:dyDescent="0.35">
      <c r="A768" t="s">
        <v>1688</v>
      </c>
      <c r="B768" s="13">
        <v>44515</v>
      </c>
      <c r="C768" t="s">
        <v>1689</v>
      </c>
      <c r="D768" t="s">
        <v>47</v>
      </c>
      <c r="E768" t="s">
        <v>4</v>
      </c>
      <c r="F768" t="s">
        <v>148</v>
      </c>
      <c r="G768" t="s">
        <v>6</v>
      </c>
      <c r="H768" t="s">
        <v>353</v>
      </c>
      <c r="I768">
        <v>2</v>
      </c>
      <c r="J768" s="1">
        <v>260.24</v>
      </c>
      <c r="K768">
        <v>0.22</v>
      </c>
      <c r="L768" s="1">
        <v>245.84</v>
      </c>
      <c r="M768" s="1">
        <v>24.47</v>
      </c>
      <c r="N768" s="1">
        <v>73.44</v>
      </c>
      <c r="O768" t="s">
        <v>57</v>
      </c>
      <c r="P768">
        <v>5</v>
      </c>
      <c r="Q768" t="b">
        <v>0</v>
      </c>
      <c r="R768" t="s">
        <v>18</v>
      </c>
      <c r="S768">
        <v>2</v>
      </c>
      <c r="T768" t="e">
        <f>IF(#REF!&lt;=25, "Young Age", IF(#REF!&lt;=40, "Mid Age", "Old Age"))</f>
        <v>#REF!</v>
      </c>
      <c r="U768" t="str">
        <f t="shared" si="11"/>
        <v>Okay</v>
      </c>
    </row>
    <row r="769" spans="1:21" x14ac:dyDescent="0.35">
      <c r="A769" t="s">
        <v>1690</v>
      </c>
      <c r="B769" s="13">
        <v>44043</v>
      </c>
      <c r="C769" t="s">
        <v>1691</v>
      </c>
      <c r="D769" t="s">
        <v>47</v>
      </c>
      <c r="E769" t="s">
        <v>14</v>
      </c>
      <c r="F769" t="s">
        <v>28</v>
      </c>
      <c r="G769" t="s">
        <v>55</v>
      </c>
      <c r="H769" t="s">
        <v>110</v>
      </c>
      <c r="I769">
        <v>8</v>
      </c>
      <c r="J769" s="1">
        <v>3369.18</v>
      </c>
      <c r="K769">
        <v>0.05</v>
      </c>
      <c r="L769" s="1">
        <v>29990.07</v>
      </c>
      <c r="M769" s="1">
        <v>10760.08</v>
      </c>
      <c r="N769" s="1">
        <v>65.099999999999994</v>
      </c>
      <c r="O769" t="s">
        <v>57</v>
      </c>
      <c r="P769">
        <v>3</v>
      </c>
      <c r="Q769" t="b">
        <v>0</v>
      </c>
      <c r="R769" t="s">
        <v>175</v>
      </c>
      <c r="S769">
        <v>10</v>
      </c>
      <c r="T769" t="e">
        <f>IF(#REF!&lt;=25, "Young Age", IF(#REF!&lt;=40, "Mid Age", "Old Age"))</f>
        <v>#REF!</v>
      </c>
      <c r="U769" t="str">
        <f t="shared" si="11"/>
        <v>Over Delayed</v>
      </c>
    </row>
    <row r="770" spans="1:21" x14ac:dyDescent="0.35">
      <c r="A770" t="s">
        <v>1692</v>
      </c>
      <c r="B770" s="13">
        <v>45543</v>
      </c>
      <c r="C770" t="s">
        <v>1693</v>
      </c>
      <c r="D770" t="s">
        <v>47</v>
      </c>
      <c r="E770" t="s">
        <v>89</v>
      </c>
      <c r="F770" t="s">
        <v>99</v>
      </c>
      <c r="G770" t="s">
        <v>6</v>
      </c>
      <c r="H770" t="s">
        <v>7</v>
      </c>
      <c r="I770">
        <v>3</v>
      </c>
      <c r="J770" s="1">
        <v>449.53</v>
      </c>
      <c r="K770">
        <v>0.2</v>
      </c>
      <c r="L770" s="1">
        <v>1417.4</v>
      </c>
      <c r="M770" s="1">
        <v>70.52</v>
      </c>
      <c r="N770" s="1">
        <v>77.45</v>
      </c>
      <c r="O770" t="s">
        <v>57</v>
      </c>
      <c r="P770">
        <v>4</v>
      </c>
      <c r="Q770" t="b">
        <v>0</v>
      </c>
      <c r="R770" t="s">
        <v>37</v>
      </c>
      <c r="S770">
        <v>10</v>
      </c>
      <c r="T770" t="e">
        <f>IF(#REF!&lt;=25, "Young Age", IF(#REF!&lt;=40, "Mid Age", "Old Age"))</f>
        <v>#REF!</v>
      </c>
      <c r="U770" t="str">
        <f t="shared" ref="U770:U833" si="12">IF(S770 &lt;=4, "Okay", IF(S770 &lt;=7, "Delayed", "Over Delayed"))</f>
        <v>Over Delayed</v>
      </c>
    </row>
    <row r="771" spans="1:21" x14ac:dyDescent="0.35">
      <c r="A771" t="s">
        <v>403</v>
      </c>
      <c r="B771" s="13">
        <v>43948</v>
      </c>
      <c r="C771" t="s">
        <v>404</v>
      </c>
      <c r="D771" t="s">
        <v>47</v>
      </c>
      <c r="E771" t="s">
        <v>14</v>
      </c>
      <c r="F771" t="s">
        <v>15</v>
      </c>
      <c r="G771" t="s">
        <v>41</v>
      </c>
      <c r="H771" t="s">
        <v>85</v>
      </c>
      <c r="I771">
        <v>7</v>
      </c>
      <c r="J771" s="1">
        <v>257.18</v>
      </c>
      <c r="K771">
        <v>0.28999999999999998</v>
      </c>
      <c r="L771" s="1">
        <v>1452.88</v>
      </c>
      <c r="M771" s="1">
        <v>604.80999999999995</v>
      </c>
      <c r="N771" s="1">
        <v>60.36</v>
      </c>
      <c r="O771" t="s">
        <v>49</v>
      </c>
      <c r="P771">
        <v>1</v>
      </c>
      <c r="Q771" t="b">
        <v>0</v>
      </c>
      <c r="R771" t="s">
        <v>63</v>
      </c>
      <c r="S771">
        <v>5</v>
      </c>
      <c r="T771" t="e">
        <f>IF(#REF!&lt;=25, "Young Age", IF(#REF!&lt;=40, "Mid Age", "Old Age"))</f>
        <v>#REF!</v>
      </c>
      <c r="U771" t="str">
        <f t="shared" si="12"/>
        <v>Delayed</v>
      </c>
    </row>
    <row r="772" spans="1:21" x14ac:dyDescent="0.35">
      <c r="A772" t="s">
        <v>1694</v>
      </c>
      <c r="B772" s="13">
        <v>44655</v>
      </c>
      <c r="C772" t="s">
        <v>1695</v>
      </c>
      <c r="D772" t="s">
        <v>3</v>
      </c>
      <c r="E772" t="s">
        <v>61</v>
      </c>
      <c r="F772" t="s">
        <v>271</v>
      </c>
      <c r="G772" t="s">
        <v>124</v>
      </c>
      <c r="H772" t="s">
        <v>139</v>
      </c>
      <c r="I772">
        <v>3</v>
      </c>
      <c r="J772" s="1">
        <v>1955.47</v>
      </c>
      <c r="K772">
        <v>0.16</v>
      </c>
      <c r="L772" s="1">
        <v>6238.78</v>
      </c>
      <c r="M772" s="1">
        <v>1430</v>
      </c>
      <c r="N772" s="1">
        <v>93.12</v>
      </c>
      <c r="O772" t="s">
        <v>43</v>
      </c>
      <c r="P772">
        <v>3</v>
      </c>
      <c r="Q772" t="b">
        <v>0</v>
      </c>
      <c r="R772" t="s">
        <v>115</v>
      </c>
      <c r="S772">
        <v>3</v>
      </c>
      <c r="T772" t="e">
        <f>IF(#REF!&lt;=25, "Young Age", IF(#REF!&lt;=40, "Mid Age", "Old Age"))</f>
        <v>#REF!</v>
      </c>
      <c r="U772" t="str">
        <f t="shared" si="12"/>
        <v>Okay</v>
      </c>
    </row>
    <row r="773" spans="1:21" x14ac:dyDescent="0.35">
      <c r="A773" t="s">
        <v>1696</v>
      </c>
      <c r="B773" s="13">
        <v>45206</v>
      </c>
      <c r="C773" t="s">
        <v>1697</v>
      </c>
      <c r="D773" t="s">
        <v>13</v>
      </c>
      <c r="E773" t="s">
        <v>53</v>
      </c>
      <c r="F773" t="s">
        <v>79</v>
      </c>
      <c r="G773" t="s">
        <v>6</v>
      </c>
      <c r="H773" t="s">
        <v>374</v>
      </c>
      <c r="I773">
        <v>2</v>
      </c>
      <c r="J773" s="1">
        <v>216.82</v>
      </c>
      <c r="K773">
        <v>0.28000000000000003</v>
      </c>
      <c r="L773" s="1">
        <v>255.27</v>
      </c>
      <c r="M773" s="1">
        <v>22.97</v>
      </c>
      <c r="N773" s="1">
        <v>53.52</v>
      </c>
      <c r="O773" t="s">
        <v>36</v>
      </c>
      <c r="P773">
        <v>5</v>
      </c>
      <c r="Q773" t="b">
        <v>1</v>
      </c>
      <c r="R773" t="s">
        <v>9</v>
      </c>
      <c r="S773">
        <v>4</v>
      </c>
      <c r="T773" t="e">
        <f>IF(#REF!&lt;=25, "Young Age", IF(#REF!&lt;=40, "Mid Age", "Old Age"))</f>
        <v>#REF!</v>
      </c>
      <c r="U773" t="str">
        <f t="shared" si="12"/>
        <v>Okay</v>
      </c>
    </row>
    <row r="774" spans="1:21" x14ac:dyDescent="0.35">
      <c r="A774" t="s">
        <v>1698</v>
      </c>
      <c r="B774" s="13">
        <v>44086</v>
      </c>
      <c r="C774" t="s">
        <v>1699</v>
      </c>
      <c r="D774" t="s">
        <v>3</v>
      </c>
      <c r="E774" t="s">
        <v>53</v>
      </c>
      <c r="F774" t="s">
        <v>79</v>
      </c>
      <c r="G774" t="s">
        <v>124</v>
      </c>
      <c r="H774" t="s">
        <v>413</v>
      </c>
      <c r="I774">
        <v>2</v>
      </c>
      <c r="J774" s="1">
        <v>7907.75</v>
      </c>
      <c r="K774">
        <v>0.23</v>
      </c>
      <c r="L774" s="1">
        <v>11417.09</v>
      </c>
      <c r="M774" s="1">
        <v>2439.2600000000002</v>
      </c>
      <c r="N774" s="1">
        <v>30.79</v>
      </c>
      <c r="O774" t="s">
        <v>57</v>
      </c>
      <c r="P774">
        <v>4</v>
      </c>
      <c r="Q774" t="b">
        <v>0</v>
      </c>
      <c r="R774" t="s">
        <v>37</v>
      </c>
      <c r="S774">
        <v>10</v>
      </c>
      <c r="T774" t="e">
        <f>IF(#REF!&lt;=25, "Young Age", IF(#REF!&lt;=40, "Mid Age", "Old Age"))</f>
        <v>#REF!</v>
      </c>
      <c r="U774" t="str">
        <f t="shared" si="12"/>
        <v>Over Delayed</v>
      </c>
    </row>
    <row r="775" spans="1:21" x14ac:dyDescent="0.35">
      <c r="A775" t="s">
        <v>1700</v>
      </c>
      <c r="B775" s="13">
        <v>43867</v>
      </c>
      <c r="C775" t="s">
        <v>1701</v>
      </c>
      <c r="D775" t="s">
        <v>13</v>
      </c>
      <c r="E775" t="s">
        <v>4</v>
      </c>
      <c r="F775" t="s">
        <v>34</v>
      </c>
      <c r="G775" t="s">
        <v>16</v>
      </c>
      <c r="H775" t="s">
        <v>209</v>
      </c>
      <c r="I775">
        <v>5</v>
      </c>
      <c r="J775" s="1">
        <v>1398.56</v>
      </c>
      <c r="K775">
        <v>0.11</v>
      </c>
      <c r="L775" s="1">
        <v>5755.36</v>
      </c>
      <c r="M775" s="1">
        <v>2371.83</v>
      </c>
      <c r="N775" s="1">
        <v>41.33</v>
      </c>
      <c r="O775" t="s">
        <v>43</v>
      </c>
      <c r="P775">
        <v>1</v>
      </c>
      <c r="Q775" t="b">
        <v>0</v>
      </c>
      <c r="R775" t="s">
        <v>18</v>
      </c>
      <c r="S775">
        <v>2</v>
      </c>
      <c r="T775" t="e">
        <f>IF(#REF!&lt;=25, "Young Age", IF(#REF!&lt;=40, "Mid Age", "Old Age"))</f>
        <v>#REF!</v>
      </c>
      <c r="U775" t="str">
        <f t="shared" si="12"/>
        <v>Okay</v>
      </c>
    </row>
    <row r="776" spans="1:21" x14ac:dyDescent="0.35">
      <c r="A776" t="s">
        <v>1702</v>
      </c>
      <c r="B776" s="13">
        <v>43995</v>
      </c>
      <c r="C776" t="s">
        <v>1703</v>
      </c>
      <c r="D776" t="s">
        <v>47</v>
      </c>
      <c r="E776" t="s">
        <v>89</v>
      </c>
      <c r="F776" t="s">
        <v>299</v>
      </c>
      <c r="G776" t="s">
        <v>6</v>
      </c>
      <c r="H776" t="s">
        <v>7</v>
      </c>
      <c r="I776">
        <v>9</v>
      </c>
      <c r="J776" s="1">
        <v>264.60000000000002</v>
      </c>
      <c r="K776">
        <v>0.39</v>
      </c>
      <c r="L776" s="1">
        <v>1805.25</v>
      </c>
      <c r="M776" s="1">
        <v>107.92</v>
      </c>
      <c r="N776" s="1">
        <v>70.83</v>
      </c>
      <c r="O776" t="s">
        <v>8</v>
      </c>
      <c r="P776">
        <v>5</v>
      </c>
      <c r="Q776" t="b">
        <v>0</v>
      </c>
      <c r="R776" t="s">
        <v>18</v>
      </c>
      <c r="S776">
        <v>1</v>
      </c>
      <c r="T776" t="e">
        <f>IF(#REF!&lt;=25, "Young Age", IF(#REF!&lt;=40, "Mid Age", "Old Age"))</f>
        <v>#REF!</v>
      </c>
      <c r="U776" t="str">
        <f t="shared" si="12"/>
        <v>Okay</v>
      </c>
    </row>
    <row r="777" spans="1:21" x14ac:dyDescent="0.35">
      <c r="A777" t="s">
        <v>1704</v>
      </c>
      <c r="B777" s="13">
        <v>44424</v>
      </c>
      <c r="C777" t="s">
        <v>1705</v>
      </c>
      <c r="D777" t="s">
        <v>47</v>
      </c>
      <c r="E777" t="s">
        <v>4</v>
      </c>
      <c r="F777" t="s">
        <v>48</v>
      </c>
      <c r="G777" t="s">
        <v>41</v>
      </c>
      <c r="H777" t="s">
        <v>42</v>
      </c>
      <c r="I777">
        <v>3</v>
      </c>
      <c r="J777" s="1">
        <v>886.35</v>
      </c>
      <c r="K777">
        <v>0.25</v>
      </c>
      <c r="L777" s="1">
        <v>2878.52</v>
      </c>
      <c r="M777" s="1">
        <v>1205.8900000000001</v>
      </c>
      <c r="N777" s="1">
        <v>51.22</v>
      </c>
      <c r="O777" t="s">
        <v>30</v>
      </c>
      <c r="P777">
        <v>1</v>
      </c>
      <c r="Q777" t="b">
        <v>0</v>
      </c>
      <c r="R777" t="s">
        <v>18</v>
      </c>
      <c r="S777">
        <v>6</v>
      </c>
      <c r="T777" t="e">
        <f>IF(#REF!&lt;=25, "Young Age", IF(#REF!&lt;=40, "Mid Age", "Old Age"))</f>
        <v>#REF!</v>
      </c>
      <c r="U777" t="str">
        <f t="shared" si="12"/>
        <v>Delayed</v>
      </c>
    </row>
    <row r="778" spans="1:21" x14ac:dyDescent="0.35">
      <c r="A778" t="s">
        <v>1706</v>
      </c>
      <c r="B778" s="13">
        <v>45317</v>
      </c>
      <c r="C778" t="s">
        <v>1707</v>
      </c>
      <c r="D778" t="s">
        <v>13</v>
      </c>
      <c r="E778" t="s">
        <v>14</v>
      </c>
      <c r="F778" t="s">
        <v>28</v>
      </c>
      <c r="G778" t="s">
        <v>41</v>
      </c>
      <c r="H778" t="s">
        <v>261</v>
      </c>
      <c r="I778">
        <v>6</v>
      </c>
      <c r="J778" s="1">
        <v>589.55999999999995</v>
      </c>
      <c r="K778">
        <v>0.33</v>
      </c>
      <c r="L778" s="1">
        <v>2123.41</v>
      </c>
      <c r="M778" s="1">
        <v>728.31</v>
      </c>
      <c r="N778" s="1">
        <v>73.88</v>
      </c>
      <c r="O778" t="s">
        <v>43</v>
      </c>
      <c r="P778">
        <v>2</v>
      </c>
      <c r="Q778" t="b">
        <v>1</v>
      </c>
      <c r="R778" t="s">
        <v>9</v>
      </c>
      <c r="S778">
        <v>3</v>
      </c>
      <c r="T778" t="e">
        <f>IF(#REF!&lt;=25, "Young Age", IF(#REF!&lt;=40, "Mid Age", "Old Age"))</f>
        <v>#REF!</v>
      </c>
      <c r="U778" t="str">
        <f t="shared" si="12"/>
        <v>Okay</v>
      </c>
    </row>
    <row r="779" spans="1:21" x14ac:dyDescent="0.35">
      <c r="A779" t="s">
        <v>1708</v>
      </c>
      <c r="B779" s="13">
        <v>44711</v>
      </c>
      <c r="C779" t="s">
        <v>1709</v>
      </c>
      <c r="D779" t="s">
        <v>13</v>
      </c>
      <c r="E779" t="s">
        <v>61</v>
      </c>
      <c r="F779" t="s">
        <v>222</v>
      </c>
      <c r="G779" t="s">
        <v>6</v>
      </c>
      <c r="H779" t="s">
        <v>374</v>
      </c>
      <c r="I779">
        <v>9</v>
      </c>
      <c r="J779" s="1">
        <v>363.51</v>
      </c>
      <c r="K779">
        <v>0.23</v>
      </c>
      <c r="L779" s="1">
        <v>3460.81</v>
      </c>
      <c r="M779" s="1">
        <v>307.14999999999998</v>
      </c>
      <c r="N779" s="1">
        <v>84.69</v>
      </c>
      <c r="O779" t="s">
        <v>43</v>
      </c>
      <c r="P779">
        <v>4</v>
      </c>
      <c r="Q779" t="b">
        <v>1</v>
      </c>
      <c r="R779" t="s">
        <v>9</v>
      </c>
      <c r="S779">
        <v>7</v>
      </c>
      <c r="T779" t="e">
        <f>IF(#REF!&lt;=25, "Young Age", IF(#REF!&lt;=40, "Mid Age", "Old Age"))</f>
        <v>#REF!</v>
      </c>
      <c r="U779" t="str">
        <f t="shared" si="12"/>
        <v>Delayed</v>
      </c>
    </row>
    <row r="780" spans="1:21" x14ac:dyDescent="0.35">
      <c r="A780" t="s">
        <v>1710</v>
      </c>
      <c r="B780" s="13">
        <v>44932</v>
      </c>
      <c r="C780" t="s">
        <v>1711</v>
      </c>
      <c r="D780" t="s">
        <v>47</v>
      </c>
      <c r="E780" t="s">
        <v>53</v>
      </c>
      <c r="F780" t="s">
        <v>114</v>
      </c>
      <c r="G780" t="s">
        <v>6</v>
      </c>
      <c r="H780" t="s">
        <v>387</v>
      </c>
      <c r="I780">
        <v>6</v>
      </c>
      <c r="J780" s="1">
        <v>303.67</v>
      </c>
      <c r="K780">
        <v>0.05</v>
      </c>
      <c r="L780" s="1">
        <v>1631.61</v>
      </c>
      <c r="M780" s="1">
        <v>129.1</v>
      </c>
      <c r="N780" s="1">
        <v>66.2</v>
      </c>
      <c r="O780" t="s">
        <v>36</v>
      </c>
      <c r="P780">
        <v>1</v>
      </c>
      <c r="Q780" t="b">
        <v>0</v>
      </c>
      <c r="R780" t="s">
        <v>37</v>
      </c>
      <c r="S780">
        <v>7</v>
      </c>
      <c r="T780" t="e">
        <f>IF(#REF!&lt;=25, "Young Age", IF(#REF!&lt;=40, "Mid Age", "Old Age"))</f>
        <v>#REF!</v>
      </c>
      <c r="U780" t="str">
        <f t="shared" si="12"/>
        <v>Delayed</v>
      </c>
    </row>
    <row r="781" spans="1:21" x14ac:dyDescent="0.35">
      <c r="A781" t="s">
        <v>1712</v>
      </c>
      <c r="B781" s="13">
        <v>44455</v>
      </c>
      <c r="C781" t="s">
        <v>1713</v>
      </c>
      <c r="D781" t="s">
        <v>47</v>
      </c>
      <c r="E781" t="s">
        <v>14</v>
      </c>
      <c r="F781" t="s">
        <v>22</v>
      </c>
      <c r="G781" t="s">
        <v>23</v>
      </c>
      <c r="H781" t="s">
        <v>29</v>
      </c>
      <c r="I781">
        <v>9</v>
      </c>
      <c r="J781" s="1">
        <v>28138.720000000001</v>
      </c>
      <c r="K781">
        <v>0</v>
      </c>
      <c r="L781" s="1">
        <v>267856.83</v>
      </c>
      <c r="M781" s="1">
        <v>58224.65</v>
      </c>
      <c r="N781" s="1">
        <v>61.16</v>
      </c>
      <c r="O781" t="s">
        <v>8</v>
      </c>
      <c r="P781">
        <v>4</v>
      </c>
      <c r="Q781" t="b">
        <v>0</v>
      </c>
      <c r="R781" t="s">
        <v>18</v>
      </c>
      <c r="S781">
        <v>1</v>
      </c>
      <c r="T781" t="e">
        <f>IF(#REF!&lt;=25, "Young Age", IF(#REF!&lt;=40, "Mid Age", "Old Age"))</f>
        <v>#REF!</v>
      </c>
      <c r="U781" t="str">
        <f t="shared" si="12"/>
        <v>Okay</v>
      </c>
    </row>
    <row r="782" spans="1:21" x14ac:dyDescent="0.35">
      <c r="A782" t="s">
        <v>1714</v>
      </c>
      <c r="B782" s="13">
        <v>44272</v>
      </c>
      <c r="C782" t="s">
        <v>1715</v>
      </c>
      <c r="D782" t="s">
        <v>3</v>
      </c>
      <c r="E782" t="s">
        <v>61</v>
      </c>
      <c r="F782" t="s">
        <v>104</v>
      </c>
      <c r="G782" t="s">
        <v>105</v>
      </c>
      <c r="H782" t="s">
        <v>174</v>
      </c>
      <c r="I782">
        <v>3</v>
      </c>
      <c r="J782" s="1">
        <v>53597.73</v>
      </c>
      <c r="K782">
        <v>0.22</v>
      </c>
      <c r="L782" s="1">
        <v>113953.25</v>
      </c>
      <c r="M782" s="1">
        <v>17435</v>
      </c>
      <c r="N782" s="1">
        <v>77.63</v>
      </c>
      <c r="O782" t="s">
        <v>57</v>
      </c>
      <c r="P782">
        <v>2</v>
      </c>
      <c r="Q782" t="b">
        <v>0</v>
      </c>
      <c r="R782" t="s">
        <v>18</v>
      </c>
      <c r="S782">
        <v>8</v>
      </c>
      <c r="T782" t="e">
        <f>IF(#REF!&lt;=25, "Young Age", IF(#REF!&lt;=40, "Mid Age", "Old Age"))</f>
        <v>#REF!</v>
      </c>
      <c r="U782" t="str">
        <f t="shared" si="12"/>
        <v>Over Delayed</v>
      </c>
    </row>
    <row r="783" spans="1:21" x14ac:dyDescent="0.35">
      <c r="A783" t="s">
        <v>1716</v>
      </c>
      <c r="B783" s="13">
        <v>44455</v>
      </c>
      <c r="C783" t="s">
        <v>1717</v>
      </c>
      <c r="D783" t="s">
        <v>13</v>
      </c>
      <c r="E783" t="s">
        <v>53</v>
      </c>
      <c r="F783" t="s">
        <v>54</v>
      </c>
      <c r="G783" t="s">
        <v>124</v>
      </c>
      <c r="H783" t="s">
        <v>254</v>
      </c>
      <c r="I783">
        <v>6</v>
      </c>
      <c r="J783" s="1">
        <v>3598.68</v>
      </c>
      <c r="K783">
        <v>0.09</v>
      </c>
      <c r="L783" s="1">
        <v>22421.86</v>
      </c>
      <c r="M783" s="1">
        <v>6008.67</v>
      </c>
      <c r="N783" s="1">
        <v>56.7</v>
      </c>
      <c r="O783" t="s">
        <v>36</v>
      </c>
      <c r="P783">
        <v>2</v>
      </c>
      <c r="Q783" t="b">
        <v>0</v>
      </c>
      <c r="R783" t="s">
        <v>18</v>
      </c>
      <c r="S783">
        <v>8</v>
      </c>
      <c r="T783" t="e">
        <f>IF(#REF!&lt;=25, "Young Age", IF(#REF!&lt;=40, "Mid Age", "Old Age"))</f>
        <v>#REF!</v>
      </c>
      <c r="U783" t="str">
        <f t="shared" si="12"/>
        <v>Over Delayed</v>
      </c>
    </row>
    <row r="784" spans="1:21" x14ac:dyDescent="0.35">
      <c r="A784" t="s">
        <v>1718</v>
      </c>
      <c r="B784" s="13">
        <v>44250</v>
      </c>
      <c r="C784" t="s">
        <v>1719</v>
      </c>
      <c r="D784" t="s">
        <v>47</v>
      </c>
      <c r="E784" t="s">
        <v>61</v>
      </c>
      <c r="F784" t="s">
        <v>271</v>
      </c>
      <c r="G784" t="s">
        <v>55</v>
      </c>
      <c r="H784" t="s">
        <v>100</v>
      </c>
      <c r="I784">
        <v>4</v>
      </c>
      <c r="J784" s="1">
        <v>3257.05</v>
      </c>
      <c r="K784">
        <v>0.24</v>
      </c>
      <c r="L784" s="1">
        <v>8461.34</v>
      </c>
      <c r="M784" s="1">
        <v>3580.22</v>
      </c>
      <c r="N784" s="1">
        <v>80.55</v>
      </c>
      <c r="O784" t="s">
        <v>43</v>
      </c>
      <c r="P784" t="s">
        <v>2149</v>
      </c>
      <c r="Q784" t="b">
        <v>0</v>
      </c>
      <c r="R784" t="s">
        <v>18</v>
      </c>
      <c r="S784">
        <v>6</v>
      </c>
      <c r="T784" t="e">
        <f>IF(#REF!&lt;=25, "Young Age", IF(#REF!&lt;=40, "Mid Age", "Old Age"))</f>
        <v>#REF!</v>
      </c>
      <c r="U784" t="str">
        <f t="shared" si="12"/>
        <v>Delayed</v>
      </c>
    </row>
    <row r="785" spans="1:21" x14ac:dyDescent="0.35">
      <c r="A785" t="s">
        <v>1720</v>
      </c>
      <c r="B785" s="13">
        <v>44548</v>
      </c>
      <c r="C785" t="s">
        <v>1721</v>
      </c>
      <c r="D785" t="s">
        <v>3</v>
      </c>
      <c r="E785" t="s">
        <v>53</v>
      </c>
      <c r="F785" t="s">
        <v>79</v>
      </c>
      <c r="G785" t="s">
        <v>41</v>
      </c>
      <c r="H785" t="s">
        <v>477</v>
      </c>
      <c r="I785">
        <v>5</v>
      </c>
      <c r="J785" s="1">
        <v>199.85</v>
      </c>
      <c r="K785">
        <v>7.0000000000000007E-2</v>
      </c>
      <c r="L785" s="1">
        <v>616.48</v>
      </c>
      <c r="M785" s="1">
        <v>277.39999999999998</v>
      </c>
      <c r="N785" s="1">
        <v>37.229999999999997</v>
      </c>
      <c r="O785" t="s">
        <v>49</v>
      </c>
      <c r="P785">
        <v>3</v>
      </c>
      <c r="Q785" t="b">
        <v>0</v>
      </c>
      <c r="R785" t="s">
        <v>18</v>
      </c>
      <c r="S785">
        <v>2</v>
      </c>
      <c r="T785" t="e">
        <f>IF(#REF!&lt;=25, "Young Age", IF(#REF!&lt;=40, "Mid Age", "Old Age"))</f>
        <v>#REF!</v>
      </c>
      <c r="U785" t="str">
        <f t="shared" si="12"/>
        <v>Okay</v>
      </c>
    </row>
    <row r="786" spans="1:21" x14ac:dyDescent="0.35">
      <c r="A786" t="s">
        <v>1722</v>
      </c>
      <c r="B786" s="13">
        <v>44707</v>
      </c>
      <c r="C786" t="s">
        <v>1723</v>
      </c>
      <c r="D786" t="s">
        <v>3</v>
      </c>
      <c r="E786" t="s">
        <v>4</v>
      </c>
      <c r="F786" t="s">
        <v>34</v>
      </c>
      <c r="G786" t="s">
        <v>124</v>
      </c>
      <c r="H786" t="s">
        <v>125</v>
      </c>
      <c r="I786">
        <v>3</v>
      </c>
      <c r="J786" s="1">
        <v>6064.09</v>
      </c>
      <c r="K786">
        <v>0.03</v>
      </c>
      <c r="L786" s="1">
        <v>24706.43</v>
      </c>
      <c r="M786" s="1">
        <v>6641.4</v>
      </c>
      <c r="N786" s="1">
        <v>55.09</v>
      </c>
      <c r="O786" t="s">
        <v>49</v>
      </c>
      <c r="P786">
        <v>2</v>
      </c>
      <c r="Q786" t="b">
        <v>0</v>
      </c>
      <c r="R786" t="s">
        <v>18</v>
      </c>
      <c r="S786">
        <v>6</v>
      </c>
      <c r="T786" t="e">
        <f>IF(#REF!&lt;=25, "Young Age", IF(#REF!&lt;=40, "Mid Age", "Old Age"))</f>
        <v>#REF!</v>
      </c>
      <c r="U786" t="str">
        <f t="shared" si="12"/>
        <v>Delayed</v>
      </c>
    </row>
    <row r="787" spans="1:21" x14ac:dyDescent="0.35">
      <c r="A787" t="s">
        <v>1724</v>
      </c>
      <c r="B787" s="13">
        <v>44519</v>
      </c>
      <c r="C787" t="s">
        <v>1725</v>
      </c>
      <c r="D787" t="s">
        <v>3</v>
      </c>
      <c r="E787" t="s">
        <v>61</v>
      </c>
      <c r="F787" t="s">
        <v>62</v>
      </c>
      <c r="G787" t="s">
        <v>55</v>
      </c>
      <c r="H787" t="s">
        <v>100</v>
      </c>
      <c r="I787">
        <v>8</v>
      </c>
      <c r="J787" s="1">
        <v>1386.86</v>
      </c>
      <c r="K787">
        <v>0.03</v>
      </c>
      <c r="L787" s="1">
        <v>8547.02</v>
      </c>
      <c r="M787" s="1">
        <v>2698.05</v>
      </c>
      <c r="N787" s="1">
        <v>71.34</v>
      </c>
      <c r="O787" t="s">
        <v>30</v>
      </c>
      <c r="P787">
        <v>4</v>
      </c>
      <c r="Q787" t="b">
        <v>0</v>
      </c>
      <c r="R787" t="s">
        <v>18</v>
      </c>
      <c r="S787">
        <v>9</v>
      </c>
      <c r="T787" t="e">
        <f>IF(#REF!&lt;=25, "Young Age", IF(#REF!&lt;=40, "Mid Age", "Old Age"))</f>
        <v>#REF!</v>
      </c>
      <c r="U787" t="str">
        <f t="shared" si="12"/>
        <v>Over Delayed</v>
      </c>
    </row>
    <row r="788" spans="1:21" x14ac:dyDescent="0.35">
      <c r="A788" t="s">
        <v>1726</v>
      </c>
      <c r="B788" s="13">
        <v>44191</v>
      </c>
      <c r="C788" t="s">
        <v>1727</v>
      </c>
      <c r="D788" t="s">
        <v>13</v>
      </c>
      <c r="E788" t="s">
        <v>89</v>
      </c>
      <c r="F788" t="s">
        <v>119</v>
      </c>
      <c r="G788" t="s">
        <v>6</v>
      </c>
      <c r="H788" t="s">
        <v>374</v>
      </c>
      <c r="I788">
        <v>8</v>
      </c>
      <c r="J788" s="1">
        <v>312.61</v>
      </c>
      <c r="K788">
        <v>0.28999999999999998</v>
      </c>
      <c r="L788" s="1">
        <v>1360.85</v>
      </c>
      <c r="M788" s="1">
        <v>78.900000000000006</v>
      </c>
      <c r="N788" s="1">
        <v>88.49</v>
      </c>
      <c r="O788" t="s">
        <v>36</v>
      </c>
      <c r="P788">
        <v>4</v>
      </c>
      <c r="Q788" t="b">
        <v>0</v>
      </c>
      <c r="R788" t="s">
        <v>18</v>
      </c>
      <c r="S788">
        <v>9</v>
      </c>
      <c r="T788" t="e">
        <f>IF(#REF!&lt;=25, "Young Age", IF(#REF!&lt;=40, "Mid Age", "Old Age"))</f>
        <v>#REF!</v>
      </c>
      <c r="U788" t="str">
        <f t="shared" si="12"/>
        <v>Over Delayed</v>
      </c>
    </row>
    <row r="789" spans="1:21" x14ac:dyDescent="0.35">
      <c r="A789" t="s">
        <v>1728</v>
      </c>
      <c r="B789" s="13">
        <v>45316</v>
      </c>
      <c r="C789" t="s">
        <v>1729</v>
      </c>
      <c r="D789" t="s">
        <v>13</v>
      </c>
      <c r="E789" t="s">
        <v>61</v>
      </c>
      <c r="F789" t="s">
        <v>62</v>
      </c>
      <c r="G789" t="s">
        <v>41</v>
      </c>
      <c r="H789" t="s">
        <v>477</v>
      </c>
      <c r="I789">
        <v>2</v>
      </c>
      <c r="J789" s="1">
        <v>1074.9000000000001</v>
      </c>
      <c r="K789">
        <v>0.35</v>
      </c>
      <c r="L789" s="1">
        <v>1255.8499999999999</v>
      </c>
      <c r="M789" s="1">
        <v>228.05</v>
      </c>
      <c r="N789" s="1">
        <v>68.34</v>
      </c>
      <c r="O789" t="s">
        <v>8</v>
      </c>
      <c r="P789">
        <v>2</v>
      </c>
      <c r="Q789" t="b">
        <v>0</v>
      </c>
      <c r="R789" t="s">
        <v>18</v>
      </c>
      <c r="S789">
        <v>9</v>
      </c>
      <c r="T789" t="e">
        <f>IF(#REF!&lt;=25, "Young Age", IF(#REF!&lt;=40, "Mid Age", "Old Age"))</f>
        <v>#REF!</v>
      </c>
      <c r="U789" t="str">
        <f t="shared" si="12"/>
        <v>Over Delayed</v>
      </c>
    </row>
    <row r="790" spans="1:21" x14ac:dyDescent="0.35">
      <c r="A790" t="s">
        <v>1730</v>
      </c>
      <c r="B790" s="13">
        <v>45125</v>
      </c>
      <c r="C790" t="s">
        <v>1731</v>
      </c>
      <c r="D790" t="s">
        <v>13</v>
      </c>
      <c r="E790" t="s">
        <v>4</v>
      </c>
      <c r="F790" t="s">
        <v>148</v>
      </c>
      <c r="G790" t="s">
        <v>105</v>
      </c>
      <c r="H790" t="s">
        <v>282</v>
      </c>
      <c r="I790">
        <v>2</v>
      </c>
      <c r="J790" s="1">
        <v>30216.69</v>
      </c>
      <c r="K790">
        <v>0.16</v>
      </c>
      <c r="L790" s="1">
        <v>77559.67</v>
      </c>
      <c r="M790" s="1">
        <v>9624.5300000000007</v>
      </c>
      <c r="N790" s="1">
        <v>80.069999999999993</v>
      </c>
      <c r="O790" t="s">
        <v>30</v>
      </c>
      <c r="P790">
        <v>2</v>
      </c>
      <c r="Q790" t="b">
        <v>0</v>
      </c>
      <c r="R790" t="s">
        <v>115</v>
      </c>
      <c r="S790">
        <v>5</v>
      </c>
      <c r="T790" t="e">
        <f>IF(#REF!&lt;=25, "Young Age", IF(#REF!&lt;=40, "Mid Age", "Old Age"))</f>
        <v>#REF!</v>
      </c>
      <c r="U790" t="str">
        <f t="shared" si="12"/>
        <v>Delayed</v>
      </c>
    </row>
    <row r="791" spans="1:21" x14ac:dyDescent="0.35">
      <c r="A791" t="s">
        <v>1732</v>
      </c>
      <c r="B791" s="13">
        <v>44593</v>
      </c>
      <c r="C791" t="s">
        <v>1733</v>
      </c>
      <c r="D791" t="s">
        <v>13</v>
      </c>
      <c r="E791" t="s">
        <v>89</v>
      </c>
      <c r="F791" t="s">
        <v>119</v>
      </c>
      <c r="G791" t="s">
        <v>55</v>
      </c>
      <c r="H791" t="s">
        <v>91</v>
      </c>
      <c r="I791">
        <v>9</v>
      </c>
      <c r="J791" s="1">
        <v>766.29</v>
      </c>
      <c r="K791">
        <v>0.28000000000000003</v>
      </c>
      <c r="L791" s="1">
        <v>4890.43</v>
      </c>
      <c r="M791" s="1">
        <v>1599.31</v>
      </c>
      <c r="N791" s="1">
        <v>46.79</v>
      </c>
      <c r="O791" t="s">
        <v>57</v>
      </c>
      <c r="P791">
        <v>1</v>
      </c>
      <c r="Q791" t="b">
        <v>0</v>
      </c>
      <c r="R791" t="s">
        <v>175</v>
      </c>
      <c r="S791">
        <v>7</v>
      </c>
      <c r="T791" t="e">
        <f>IF(#REF!&lt;=25, "Young Age", IF(#REF!&lt;=40, "Mid Age", "Old Age"))</f>
        <v>#REF!</v>
      </c>
      <c r="U791" t="str">
        <f t="shared" si="12"/>
        <v>Delayed</v>
      </c>
    </row>
    <row r="792" spans="1:21" x14ac:dyDescent="0.35">
      <c r="A792" t="s">
        <v>1734</v>
      </c>
      <c r="B792" s="13">
        <v>44799</v>
      </c>
      <c r="C792" t="s">
        <v>1735</v>
      </c>
      <c r="D792" t="s">
        <v>47</v>
      </c>
      <c r="E792" t="s">
        <v>14</v>
      </c>
      <c r="F792" t="s">
        <v>28</v>
      </c>
      <c r="G792" t="s">
        <v>124</v>
      </c>
      <c r="H792" t="s">
        <v>195</v>
      </c>
      <c r="I792">
        <v>1</v>
      </c>
      <c r="J792" s="1">
        <v>9516.5400000000009</v>
      </c>
      <c r="K792">
        <v>7.0000000000000007E-2</v>
      </c>
      <c r="L792" s="1">
        <v>11604.33</v>
      </c>
      <c r="M792" s="1">
        <v>2275.4</v>
      </c>
      <c r="N792" s="1">
        <v>75.61</v>
      </c>
      <c r="O792" t="s">
        <v>8</v>
      </c>
      <c r="P792">
        <v>4</v>
      </c>
      <c r="Q792" t="b">
        <v>0</v>
      </c>
      <c r="R792" t="s">
        <v>115</v>
      </c>
      <c r="S792">
        <v>4</v>
      </c>
      <c r="T792" t="e">
        <f>IF(#REF!&lt;=25, "Young Age", IF(#REF!&lt;=40, "Mid Age", "Old Age"))</f>
        <v>#REF!</v>
      </c>
      <c r="U792" t="str">
        <f t="shared" si="12"/>
        <v>Okay</v>
      </c>
    </row>
    <row r="793" spans="1:21" x14ac:dyDescent="0.35">
      <c r="A793" t="s">
        <v>1736</v>
      </c>
      <c r="B793" s="13">
        <v>45590</v>
      </c>
      <c r="C793" t="s">
        <v>1737</v>
      </c>
      <c r="D793" t="s">
        <v>47</v>
      </c>
      <c r="E793" t="s">
        <v>53</v>
      </c>
      <c r="F793" t="s">
        <v>54</v>
      </c>
      <c r="G793" t="s">
        <v>55</v>
      </c>
      <c r="H793" t="s">
        <v>91</v>
      </c>
      <c r="I793">
        <v>3</v>
      </c>
      <c r="J793" s="1">
        <v>1187.4000000000001</v>
      </c>
      <c r="K793">
        <v>0.35</v>
      </c>
      <c r="L793" s="1">
        <v>2772.19</v>
      </c>
      <c r="M793" s="1">
        <v>1166.8800000000001</v>
      </c>
      <c r="N793" s="1">
        <v>39.79</v>
      </c>
      <c r="O793" t="s">
        <v>43</v>
      </c>
      <c r="P793">
        <v>5</v>
      </c>
      <c r="Q793" t="b">
        <v>0</v>
      </c>
      <c r="R793" t="s">
        <v>18</v>
      </c>
      <c r="S793">
        <v>7</v>
      </c>
      <c r="T793" t="e">
        <f>IF(#REF!&lt;=25, "Young Age", IF(#REF!&lt;=40, "Mid Age", "Old Age"))</f>
        <v>#REF!</v>
      </c>
      <c r="U793" t="str">
        <f t="shared" si="12"/>
        <v>Delayed</v>
      </c>
    </row>
    <row r="794" spans="1:21" x14ac:dyDescent="0.35">
      <c r="A794" t="s">
        <v>1738</v>
      </c>
      <c r="B794" s="13">
        <v>45510</v>
      </c>
      <c r="C794" t="s">
        <v>1739</v>
      </c>
      <c r="D794" t="s">
        <v>13</v>
      </c>
      <c r="E794" t="s">
        <v>89</v>
      </c>
      <c r="F794" t="s">
        <v>299</v>
      </c>
      <c r="G794" t="s">
        <v>23</v>
      </c>
      <c r="H794" t="s">
        <v>24</v>
      </c>
      <c r="I794">
        <v>8</v>
      </c>
      <c r="J794" s="1">
        <v>29325.03</v>
      </c>
      <c r="K794">
        <v>0.33</v>
      </c>
      <c r="L794" s="1">
        <v>238669.42</v>
      </c>
      <c r="M794" s="1">
        <v>54334.41</v>
      </c>
      <c r="N794" s="1">
        <v>57.12</v>
      </c>
      <c r="O794" t="s">
        <v>43</v>
      </c>
      <c r="P794">
        <v>5</v>
      </c>
      <c r="Q794" t="b">
        <v>0</v>
      </c>
      <c r="R794" t="s">
        <v>18</v>
      </c>
      <c r="S794">
        <v>2</v>
      </c>
      <c r="T794" t="e">
        <f>IF(#REF!&lt;=25, "Young Age", IF(#REF!&lt;=40, "Mid Age", "Old Age"))</f>
        <v>#REF!</v>
      </c>
      <c r="U794" t="str">
        <f t="shared" si="12"/>
        <v>Okay</v>
      </c>
    </row>
    <row r="795" spans="1:21" x14ac:dyDescent="0.35">
      <c r="A795" t="s">
        <v>1740</v>
      </c>
      <c r="B795" s="13">
        <v>45085</v>
      </c>
      <c r="C795" t="s">
        <v>1741</v>
      </c>
      <c r="D795" t="s">
        <v>47</v>
      </c>
      <c r="E795" t="s">
        <v>4</v>
      </c>
      <c r="F795" t="s">
        <v>34</v>
      </c>
      <c r="G795" t="s">
        <v>55</v>
      </c>
      <c r="H795" t="s">
        <v>110</v>
      </c>
      <c r="I795">
        <v>7</v>
      </c>
      <c r="J795" s="1">
        <v>983.45</v>
      </c>
      <c r="K795">
        <v>0.03</v>
      </c>
      <c r="L795" s="1">
        <v>11834.57</v>
      </c>
      <c r="M795" s="1">
        <v>3889.86</v>
      </c>
      <c r="N795" s="1">
        <v>67.48</v>
      </c>
      <c r="O795" t="s">
        <v>8</v>
      </c>
      <c r="P795">
        <v>4</v>
      </c>
      <c r="Q795" t="b">
        <v>1</v>
      </c>
      <c r="R795" t="s">
        <v>9</v>
      </c>
      <c r="S795">
        <v>10</v>
      </c>
      <c r="T795" t="e">
        <f>IF(#REF!&lt;=25, "Young Age", IF(#REF!&lt;=40, "Mid Age", "Old Age"))</f>
        <v>#REF!</v>
      </c>
      <c r="U795" t="str">
        <f t="shared" si="12"/>
        <v>Over Delayed</v>
      </c>
    </row>
    <row r="796" spans="1:21" x14ac:dyDescent="0.35">
      <c r="A796" t="s">
        <v>1742</v>
      </c>
      <c r="B796" s="13">
        <v>44742</v>
      </c>
      <c r="C796" t="s">
        <v>1743</v>
      </c>
      <c r="D796" t="s">
        <v>13</v>
      </c>
      <c r="E796" t="s">
        <v>61</v>
      </c>
      <c r="F796" t="s">
        <v>104</v>
      </c>
      <c r="G796" t="s">
        <v>16</v>
      </c>
      <c r="H796" t="s">
        <v>80</v>
      </c>
      <c r="I796">
        <v>3</v>
      </c>
      <c r="J796" s="1">
        <v>1275.56</v>
      </c>
      <c r="K796">
        <v>0.37</v>
      </c>
      <c r="L796" s="1">
        <v>3369.84</v>
      </c>
      <c r="M796" s="1">
        <v>1461.23</v>
      </c>
      <c r="N796" s="1">
        <v>99.3</v>
      </c>
      <c r="O796" t="s">
        <v>43</v>
      </c>
      <c r="P796">
        <v>5</v>
      </c>
      <c r="Q796" t="b">
        <v>0</v>
      </c>
      <c r="R796" t="s">
        <v>18</v>
      </c>
      <c r="S796">
        <v>2</v>
      </c>
      <c r="T796" t="e">
        <f>IF(#REF!&lt;=25, "Young Age", IF(#REF!&lt;=40, "Mid Age", "Old Age"))</f>
        <v>#REF!</v>
      </c>
      <c r="U796" t="str">
        <f t="shared" si="12"/>
        <v>Okay</v>
      </c>
    </row>
    <row r="797" spans="1:21" x14ac:dyDescent="0.35">
      <c r="A797" t="s">
        <v>1744</v>
      </c>
      <c r="B797" s="13">
        <v>45225</v>
      </c>
      <c r="C797" t="s">
        <v>1745</v>
      </c>
      <c r="D797" t="s">
        <v>13</v>
      </c>
      <c r="E797" t="s">
        <v>4</v>
      </c>
      <c r="F797" t="s">
        <v>34</v>
      </c>
      <c r="G797" t="s">
        <v>41</v>
      </c>
      <c r="H797" t="s">
        <v>244</v>
      </c>
      <c r="I797">
        <v>2</v>
      </c>
      <c r="J797" s="1">
        <v>357.54</v>
      </c>
      <c r="K797">
        <v>0.39</v>
      </c>
      <c r="L797" s="1">
        <v>449.09</v>
      </c>
      <c r="M797" s="1">
        <v>210.08</v>
      </c>
      <c r="N797" s="1">
        <v>68.599999999999994</v>
      </c>
      <c r="O797" t="s">
        <v>36</v>
      </c>
      <c r="P797">
        <v>4</v>
      </c>
      <c r="Q797" t="b">
        <v>0</v>
      </c>
      <c r="R797" t="s">
        <v>18</v>
      </c>
      <c r="S797">
        <v>2</v>
      </c>
      <c r="T797" t="e">
        <f>IF(#REF!&lt;=25, "Young Age", IF(#REF!&lt;=40, "Mid Age", "Old Age"))</f>
        <v>#REF!</v>
      </c>
      <c r="U797" t="str">
        <f t="shared" si="12"/>
        <v>Okay</v>
      </c>
    </row>
    <row r="798" spans="1:21" x14ac:dyDescent="0.35">
      <c r="A798" t="s">
        <v>1746</v>
      </c>
      <c r="B798" s="13" t="s">
        <v>1747</v>
      </c>
      <c r="C798" t="s">
        <v>1748</v>
      </c>
      <c r="D798" t="s">
        <v>47</v>
      </c>
      <c r="E798" t="s">
        <v>53</v>
      </c>
      <c r="F798" t="s">
        <v>170</v>
      </c>
      <c r="G798" t="s">
        <v>105</v>
      </c>
      <c r="H798" t="s">
        <v>438</v>
      </c>
      <c r="J798" s="1">
        <v>25313.99</v>
      </c>
      <c r="K798">
        <v>0.27</v>
      </c>
      <c r="L798" s="1">
        <v>29639.22</v>
      </c>
      <c r="M798" s="1">
        <v>4402.1400000000003</v>
      </c>
      <c r="N798" s="1">
        <v>51.93</v>
      </c>
      <c r="O798" t="s">
        <v>8</v>
      </c>
      <c r="P798">
        <v>4</v>
      </c>
      <c r="Q798" t="b">
        <v>0</v>
      </c>
      <c r="R798" t="s">
        <v>18</v>
      </c>
      <c r="S798" t="s">
        <v>2149</v>
      </c>
      <c r="T798" t="e">
        <f>IF(#REF!&lt;=25, "Young Age", IF(#REF!&lt;=40, "Mid Age", "Old Age"))</f>
        <v>#REF!</v>
      </c>
      <c r="U798" t="str">
        <f t="shared" si="12"/>
        <v>Over Delayed</v>
      </c>
    </row>
    <row r="799" spans="1:21" x14ac:dyDescent="0.35">
      <c r="A799" t="s">
        <v>1749</v>
      </c>
      <c r="B799" s="13">
        <v>44964</v>
      </c>
      <c r="C799" t="s">
        <v>1750</v>
      </c>
      <c r="D799" t="s">
        <v>47</v>
      </c>
      <c r="E799" t="s">
        <v>53</v>
      </c>
      <c r="F799" t="s">
        <v>79</v>
      </c>
      <c r="G799" t="s">
        <v>41</v>
      </c>
      <c r="H799" t="s">
        <v>129</v>
      </c>
      <c r="I799">
        <v>9</v>
      </c>
      <c r="J799" s="1">
        <v>1219.1099999999999</v>
      </c>
      <c r="K799">
        <v>0.09</v>
      </c>
      <c r="L799" s="1">
        <v>11967.15</v>
      </c>
      <c r="M799" s="1">
        <v>4663.6899999999996</v>
      </c>
      <c r="N799" s="1">
        <v>73.88</v>
      </c>
      <c r="O799" t="s">
        <v>8</v>
      </c>
      <c r="P799">
        <v>1</v>
      </c>
      <c r="Q799" t="b">
        <v>0</v>
      </c>
      <c r="R799" t="s">
        <v>18</v>
      </c>
      <c r="S799">
        <v>9</v>
      </c>
      <c r="T799" t="e">
        <f>IF(#REF!&lt;=25, "Young Age", IF(#REF!&lt;=40, "Mid Age", "Old Age"))</f>
        <v>#REF!</v>
      </c>
      <c r="U799" t="str">
        <f t="shared" si="12"/>
        <v>Over Delayed</v>
      </c>
    </row>
    <row r="800" spans="1:21" x14ac:dyDescent="0.35">
      <c r="A800" t="s">
        <v>1751</v>
      </c>
      <c r="B800" s="13">
        <v>43958</v>
      </c>
      <c r="C800" t="s">
        <v>1752</v>
      </c>
      <c r="D800" t="s">
        <v>13</v>
      </c>
      <c r="E800" t="s">
        <v>14</v>
      </c>
      <c r="F800" t="s">
        <v>15</v>
      </c>
      <c r="G800" t="s">
        <v>41</v>
      </c>
      <c r="H800" t="s">
        <v>85</v>
      </c>
      <c r="I800">
        <v>2</v>
      </c>
      <c r="J800" s="1">
        <v>713.5</v>
      </c>
      <c r="K800">
        <v>0.03</v>
      </c>
      <c r="L800" s="1">
        <v>1825.08</v>
      </c>
      <c r="M800" s="1">
        <v>867.87</v>
      </c>
      <c r="N800" s="1">
        <v>54.38</v>
      </c>
      <c r="O800" t="s">
        <v>8</v>
      </c>
      <c r="P800">
        <v>3</v>
      </c>
      <c r="Q800" t="b">
        <v>0</v>
      </c>
      <c r="R800" t="s">
        <v>18</v>
      </c>
      <c r="S800">
        <v>3</v>
      </c>
      <c r="T800" t="e">
        <f>IF(#REF!&lt;=25, "Young Age", IF(#REF!&lt;=40, "Mid Age", "Old Age"))</f>
        <v>#REF!</v>
      </c>
      <c r="U800" t="str">
        <f t="shared" si="12"/>
        <v>Okay</v>
      </c>
    </row>
    <row r="801" spans="1:21" x14ac:dyDescent="0.35">
      <c r="A801" t="s">
        <v>1753</v>
      </c>
      <c r="B801" s="13">
        <v>44268</v>
      </c>
      <c r="C801" t="s">
        <v>1754</v>
      </c>
      <c r="D801" t="s">
        <v>47</v>
      </c>
      <c r="E801" t="s">
        <v>53</v>
      </c>
      <c r="F801" t="s">
        <v>114</v>
      </c>
      <c r="G801" t="s">
        <v>6</v>
      </c>
      <c r="H801" t="s">
        <v>7</v>
      </c>
      <c r="I801">
        <v>5</v>
      </c>
      <c r="J801" s="1">
        <v>432.25</v>
      </c>
      <c r="K801">
        <v>0.01</v>
      </c>
      <c r="L801" s="1">
        <v>2079.81</v>
      </c>
      <c r="M801" s="1">
        <v>177.78</v>
      </c>
      <c r="N801" s="1">
        <v>37.049999999999997</v>
      </c>
      <c r="O801" t="s">
        <v>30</v>
      </c>
      <c r="P801">
        <v>2</v>
      </c>
      <c r="Q801" t="b">
        <v>0</v>
      </c>
      <c r="R801" t="s">
        <v>18</v>
      </c>
      <c r="S801">
        <v>10</v>
      </c>
      <c r="T801" t="e">
        <f>IF(#REF!&lt;=25, "Young Age", IF(#REF!&lt;=40, "Mid Age", "Old Age"))</f>
        <v>#REF!</v>
      </c>
      <c r="U801" t="str">
        <f t="shared" si="12"/>
        <v>Over Delayed</v>
      </c>
    </row>
    <row r="802" spans="1:21" x14ac:dyDescent="0.35">
      <c r="A802" t="s">
        <v>1755</v>
      </c>
      <c r="B802" s="13">
        <v>44238</v>
      </c>
      <c r="C802" t="s">
        <v>1756</v>
      </c>
      <c r="D802" t="s">
        <v>47</v>
      </c>
      <c r="E802" t="s">
        <v>61</v>
      </c>
      <c r="F802" t="s">
        <v>104</v>
      </c>
      <c r="G802" t="s">
        <v>124</v>
      </c>
      <c r="H802" t="s">
        <v>139</v>
      </c>
      <c r="I802">
        <v>6</v>
      </c>
      <c r="J802" s="1">
        <v>9644.7800000000007</v>
      </c>
      <c r="K802">
        <v>0.12</v>
      </c>
      <c r="L802" s="1">
        <v>53077.760000000002</v>
      </c>
      <c r="M802" s="1">
        <v>12558.1</v>
      </c>
      <c r="N802" s="1">
        <v>95.75</v>
      </c>
      <c r="O802" t="s">
        <v>8</v>
      </c>
      <c r="P802">
        <v>3</v>
      </c>
      <c r="Q802" t="b">
        <v>0</v>
      </c>
      <c r="R802" t="s">
        <v>115</v>
      </c>
      <c r="S802">
        <v>9</v>
      </c>
      <c r="T802" t="e">
        <f>IF(#REF!&lt;=25, "Young Age", IF(#REF!&lt;=40, "Mid Age", "Old Age"))</f>
        <v>#REF!</v>
      </c>
      <c r="U802" t="str">
        <f t="shared" si="12"/>
        <v>Over Delayed</v>
      </c>
    </row>
    <row r="803" spans="1:21" x14ac:dyDescent="0.35">
      <c r="A803" t="s">
        <v>980</v>
      </c>
      <c r="B803" s="13">
        <v>43994</v>
      </c>
      <c r="C803" t="s">
        <v>981</v>
      </c>
      <c r="D803" t="s">
        <v>13</v>
      </c>
      <c r="E803" t="s">
        <v>53</v>
      </c>
      <c r="F803" t="s">
        <v>79</v>
      </c>
      <c r="G803" t="s">
        <v>55</v>
      </c>
      <c r="H803" t="s">
        <v>100</v>
      </c>
      <c r="I803">
        <v>10</v>
      </c>
      <c r="J803" s="1">
        <v>658.16</v>
      </c>
      <c r="K803">
        <v>0.25</v>
      </c>
      <c r="L803" s="1">
        <v>6367.6</v>
      </c>
      <c r="M803" s="1">
        <v>1841.64</v>
      </c>
      <c r="N803" s="1">
        <v>63.58</v>
      </c>
      <c r="O803" t="s">
        <v>43</v>
      </c>
      <c r="P803">
        <v>1</v>
      </c>
      <c r="Q803" t="b">
        <v>0</v>
      </c>
      <c r="R803" t="s">
        <v>18</v>
      </c>
      <c r="S803">
        <v>7</v>
      </c>
      <c r="T803" t="e">
        <f>IF(#REF!&lt;=25, "Young Age", IF(#REF!&lt;=40, "Mid Age", "Old Age"))</f>
        <v>#REF!</v>
      </c>
      <c r="U803" t="str">
        <f t="shared" si="12"/>
        <v>Delayed</v>
      </c>
    </row>
    <row r="804" spans="1:21" x14ac:dyDescent="0.35">
      <c r="A804" t="s">
        <v>1757</v>
      </c>
      <c r="B804" s="13">
        <v>45064</v>
      </c>
      <c r="C804" t="s">
        <v>1758</v>
      </c>
      <c r="D804" t="s">
        <v>13</v>
      </c>
      <c r="E804" t="s">
        <v>53</v>
      </c>
      <c r="F804" t="s">
        <v>170</v>
      </c>
      <c r="G804" t="s">
        <v>41</v>
      </c>
      <c r="H804" t="s">
        <v>261</v>
      </c>
      <c r="I804">
        <v>6</v>
      </c>
      <c r="J804" s="1">
        <v>473</v>
      </c>
      <c r="K804">
        <v>0.16</v>
      </c>
      <c r="L804" s="1">
        <v>4064.17</v>
      </c>
      <c r="M804" s="1">
        <v>1153.73</v>
      </c>
      <c r="N804" s="1">
        <v>55.81</v>
      </c>
      <c r="O804" t="s">
        <v>49</v>
      </c>
      <c r="P804">
        <v>1</v>
      </c>
      <c r="Q804" t="b">
        <v>1</v>
      </c>
      <c r="R804" t="s">
        <v>9</v>
      </c>
      <c r="S804">
        <v>4</v>
      </c>
      <c r="T804" t="e">
        <f>IF(#REF!&lt;=25, "Young Age", IF(#REF!&lt;=40, "Mid Age", "Old Age"))</f>
        <v>#REF!</v>
      </c>
      <c r="U804" t="str">
        <f t="shared" si="12"/>
        <v>Okay</v>
      </c>
    </row>
    <row r="805" spans="1:21" x14ac:dyDescent="0.35">
      <c r="A805" t="s">
        <v>1759</v>
      </c>
      <c r="B805" s="13">
        <v>44144</v>
      </c>
      <c r="C805" t="s">
        <v>1760</v>
      </c>
      <c r="D805" t="s">
        <v>13</v>
      </c>
      <c r="E805" t="s">
        <v>89</v>
      </c>
      <c r="F805" t="s">
        <v>299</v>
      </c>
      <c r="G805" t="s">
        <v>55</v>
      </c>
      <c r="H805" t="s">
        <v>56</v>
      </c>
      <c r="I805">
        <v>9</v>
      </c>
      <c r="J805" s="1">
        <v>1818.25</v>
      </c>
      <c r="K805">
        <v>0.15</v>
      </c>
      <c r="L805" s="1">
        <v>10464.16</v>
      </c>
      <c r="M805" s="1">
        <v>4513.75</v>
      </c>
      <c r="N805" s="1">
        <v>74.959999999999994</v>
      </c>
      <c r="O805" t="s">
        <v>30</v>
      </c>
      <c r="P805">
        <v>4</v>
      </c>
      <c r="Q805" t="b">
        <v>0</v>
      </c>
      <c r="R805" t="s">
        <v>18</v>
      </c>
      <c r="S805">
        <v>4</v>
      </c>
      <c r="T805" t="e">
        <f>IF(#REF!&lt;=25, "Young Age", IF(#REF!&lt;=40, "Mid Age", "Old Age"))</f>
        <v>#REF!</v>
      </c>
      <c r="U805" t="str">
        <f t="shared" si="12"/>
        <v>Okay</v>
      </c>
    </row>
    <row r="806" spans="1:21" x14ac:dyDescent="0.35">
      <c r="A806" t="s">
        <v>1761</v>
      </c>
      <c r="B806" s="13">
        <v>44751</v>
      </c>
      <c r="C806" t="s">
        <v>1762</v>
      </c>
      <c r="D806" t="s">
        <v>13</v>
      </c>
      <c r="E806" t="s">
        <v>53</v>
      </c>
      <c r="F806" t="s">
        <v>79</v>
      </c>
      <c r="G806" t="s">
        <v>23</v>
      </c>
      <c r="H806" t="s">
        <v>29</v>
      </c>
      <c r="I806">
        <v>6</v>
      </c>
      <c r="J806" s="1">
        <v>28297.1</v>
      </c>
      <c r="K806">
        <v>0.3</v>
      </c>
      <c r="L806" s="1">
        <v>183102.21</v>
      </c>
      <c r="M806" s="1">
        <v>41267.82</v>
      </c>
      <c r="N806" s="1">
        <v>77.25</v>
      </c>
      <c r="O806" t="s">
        <v>49</v>
      </c>
      <c r="P806">
        <v>1</v>
      </c>
      <c r="Q806" t="b">
        <v>0</v>
      </c>
      <c r="R806" t="s">
        <v>18</v>
      </c>
      <c r="S806">
        <v>3</v>
      </c>
      <c r="T806" t="e">
        <f>IF(#REF!&lt;=25, "Young Age", IF(#REF!&lt;=40, "Mid Age", "Old Age"))</f>
        <v>#REF!</v>
      </c>
      <c r="U806" t="str">
        <f t="shared" si="12"/>
        <v>Okay</v>
      </c>
    </row>
    <row r="807" spans="1:21" x14ac:dyDescent="0.35">
      <c r="A807" t="s">
        <v>1763</v>
      </c>
      <c r="B807" s="13">
        <v>45195</v>
      </c>
      <c r="C807" t="s">
        <v>1764</v>
      </c>
      <c r="D807" t="s">
        <v>3</v>
      </c>
      <c r="E807" t="s">
        <v>89</v>
      </c>
      <c r="F807" t="s">
        <v>99</v>
      </c>
      <c r="G807" t="s">
        <v>124</v>
      </c>
      <c r="H807" t="s">
        <v>139</v>
      </c>
      <c r="I807">
        <v>1</v>
      </c>
      <c r="J807" s="1">
        <v>12275.23</v>
      </c>
      <c r="K807">
        <v>0.09</v>
      </c>
      <c r="L807" s="1">
        <v>12167.28</v>
      </c>
      <c r="M807" s="1">
        <v>2949.77</v>
      </c>
      <c r="N807" s="1">
        <v>58.94</v>
      </c>
      <c r="O807" t="s">
        <v>8</v>
      </c>
      <c r="P807">
        <v>3</v>
      </c>
      <c r="Q807" t="b">
        <v>1</v>
      </c>
      <c r="R807" t="s">
        <v>9</v>
      </c>
      <c r="S807">
        <v>6</v>
      </c>
      <c r="T807" t="e">
        <f>IF(#REF!&lt;=25, "Young Age", IF(#REF!&lt;=40, "Mid Age", "Old Age"))</f>
        <v>#REF!</v>
      </c>
      <c r="U807" t="str">
        <f t="shared" si="12"/>
        <v>Delayed</v>
      </c>
    </row>
    <row r="808" spans="1:21" x14ac:dyDescent="0.35">
      <c r="A808" t="s">
        <v>1765</v>
      </c>
      <c r="B808" s="13">
        <v>44755</v>
      </c>
      <c r="C808" t="s">
        <v>1766</v>
      </c>
      <c r="D808" t="s">
        <v>3</v>
      </c>
      <c r="E808" t="s">
        <v>4</v>
      </c>
      <c r="F808" t="s">
        <v>5</v>
      </c>
      <c r="G808" t="s">
        <v>6</v>
      </c>
      <c r="H808" t="s">
        <v>353</v>
      </c>
      <c r="I808">
        <v>2</v>
      </c>
      <c r="J808" s="1">
        <v>116.27</v>
      </c>
      <c r="K808">
        <v>0.28000000000000003</v>
      </c>
      <c r="L808" s="1">
        <v>240.6</v>
      </c>
      <c r="M808" s="1">
        <v>20.5</v>
      </c>
      <c r="N808" s="1">
        <v>46.11</v>
      </c>
      <c r="O808" t="s">
        <v>43</v>
      </c>
      <c r="P808">
        <v>2</v>
      </c>
      <c r="Q808" t="b">
        <v>0</v>
      </c>
      <c r="R808" t="s">
        <v>37</v>
      </c>
      <c r="S808">
        <v>9</v>
      </c>
      <c r="T808" t="e">
        <f>IF(#REF!&lt;=25, "Young Age", IF(#REF!&lt;=40, "Mid Age", "Old Age"))</f>
        <v>#REF!</v>
      </c>
      <c r="U808" t="str">
        <f t="shared" si="12"/>
        <v>Over Delayed</v>
      </c>
    </row>
    <row r="809" spans="1:21" x14ac:dyDescent="0.35">
      <c r="A809" t="s">
        <v>1767</v>
      </c>
      <c r="B809" s="13">
        <v>44971</v>
      </c>
      <c r="C809" t="s">
        <v>1768</v>
      </c>
      <c r="D809" t="s">
        <v>3</v>
      </c>
      <c r="E809" t="s">
        <v>53</v>
      </c>
      <c r="F809" t="s">
        <v>170</v>
      </c>
      <c r="G809" t="s">
        <v>105</v>
      </c>
      <c r="H809" t="s">
        <v>282</v>
      </c>
      <c r="I809">
        <v>10</v>
      </c>
      <c r="J809" s="1">
        <v>19057.82</v>
      </c>
      <c r="K809">
        <v>0.26</v>
      </c>
      <c r="L809" s="1">
        <v>148714.97</v>
      </c>
      <c r="M809" s="1">
        <v>19803.29</v>
      </c>
      <c r="N809" s="1">
        <v>66.52</v>
      </c>
      <c r="O809" t="s">
        <v>36</v>
      </c>
      <c r="P809">
        <v>1</v>
      </c>
      <c r="Q809" t="b">
        <v>1</v>
      </c>
      <c r="R809" t="s">
        <v>9</v>
      </c>
      <c r="S809">
        <v>10</v>
      </c>
      <c r="T809" t="e">
        <f>IF(#REF!&lt;=25, "Young Age", IF(#REF!&lt;=40, "Mid Age", "Old Age"))</f>
        <v>#REF!</v>
      </c>
      <c r="U809" t="str">
        <f t="shared" si="12"/>
        <v>Over Delayed</v>
      </c>
    </row>
    <row r="810" spans="1:21" x14ac:dyDescent="0.35">
      <c r="A810" t="s">
        <v>1769</v>
      </c>
      <c r="B810" s="13">
        <v>44766</v>
      </c>
      <c r="C810" t="s">
        <v>1770</v>
      </c>
      <c r="D810" t="s">
        <v>47</v>
      </c>
      <c r="E810" t="s">
        <v>4</v>
      </c>
      <c r="F810" t="s">
        <v>48</v>
      </c>
      <c r="G810" t="s">
        <v>6</v>
      </c>
      <c r="H810" t="s">
        <v>75</v>
      </c>
      <c r="I810">
        <v>9</v>
      </c>
      <c r="J810" s="1">
        <v>422.02</v>
      </c>
      <c r="K810">
        <v>0.37</v>
      </c>
      <c r="L810" s="1">
        <v>3424.01</v>
      </c>
      <c r="M810" s="1">
        <v>264.5</v>
      </c>
      <c r="N810" s="1">
        <v>83.86</v>
      </c>
      <c r="O810" t="s">
        <v>36</v>
      </c>
      <c r="P810" t="s">
        <v>2149</v>
      </c>
      <c r="Q810" t="b">
        <v>1</v>
      </c>
      <c r="R810" t="s">
        <v>9</v>
      </c>
      <c r="S810">
        <v>4</v>
      </c>
      <c r="T810" t="e">
        <f>IF(#REF!&lt;=25, "Young Age", IF(#REF!&lt;=40, "Mid Age", "Old Age"))</f>
        <v>#REF!</v>
      </c>
      <c r="U810" t="str">
        <f t="shared" si="12"/>
        <v>Okay</v>
      </c>
    </row>
    <row r="811" spans="1:21" x14ac:dyDescent="0.35">
      <c r="A811" t="s">
        <v>1771</v>
      </c>
      <c r="B811" s="13">
        <v>44748</v>
      </c>
      <c r="C811" t="s">
        <v>1772</v>
      </c>
      <c r="D811" t="s">
        <v>13</v>
      </c>
      <c r="E811" t="s">
        <v>89</v>
      </c>
      <c r="F811" t="s">
        <v>90</v>
      </c>
      <c r="G811" t="s">
        <v>55</v>
      </c>
      <c r="H811" t="s">
        <v>91</v>
      </c>
      <c r="I811">
        <v>8</v>
      </c>
      <c r="J811" s="1">
        <v>946.16</v>
      </c>
      <c r="K811">
        <v>0.31</v>
      </c>
      <c r="L811" s="1">
        <v>7291.61</v>
      </c>
      <c r="M811" s="1">
        <v>3065.47</v>
      </c>
      <c r="N811" s="1">
        <v>76.81</v>
      </c>
      <c r="O811" t="s">
        <v>57</v>
      </c>
      <c r="P811">
        <v>2</v>
      </c>
      <c r="Q811" t="b">
        <v>0</v>
      </c>
      <c r="R811" t="s">
        <v>18</v>
      </c>
      <c r="S811">
        <v>8</v>
      </c>
      <c r="T811" t="e">
        <f>IF(#REF!&lt;=25, "Young Age", IF(#REF!&lt;=40, "Mid Age", "Old Age"))</f>
        <v>#REF!</v>
      </c>
      <c r="U811" t="str">
        <f t="shared" si="12"/>
        <v>Over Delayed</v>
      </c>
    </row>
    <row r="812" spans="1:21" x14ac:dyDescent="0.35">
      <c r="A812" t="s">
        <v>1773</v>
      </c>
      <c r="B812" s="13">
        <v>45426</v>
      </c>
      <c r="C812" t="s">
        <v>1774</v>
      </c>
      <c r="D812" t="s">
        <v>13</v>
      </c>
      <c r="E812" t="s">
        <v>4</v>
      </c>
      <c r="F812" t="s">
        <v>48</v>
      </c>
      <c r="G812" t="s">
        <v>55</v>
      </c>
      <c r="H812" t="s">
        <v>100</v>
      </c>
      <c r="I812">
        <v>6</v>
      </c>
      <c r="J812" s="1">
        <v>483.3</v>
      </c>
      <c r="K812">
        <v>0.35</v>
      </c>
      <c r="L812" s="1">
        <v>3056.64</v>
      </c>
      <c r="M812" s="1">
        <v>1071.72</v>
      </c>
      <c r="N812" s="1">
        <v>37.229999999999997</v>
      </c>
      <c r="O812" t="s">
        <v>49</v>
      </c>
      <c r="P812" t="s">
        <v>2149</v>
      </c>
      <c r="Q812" t="b">
        <v>0</v>
      </c>
      <c r="R812" t="s">
        <v>18</v>
      </c>
      <c r="S812">
        <v>2</v>
      </c>
      <c r="T812" t="e">
        <f>IF(#REF!&lt;=25, "Young Age", IF(#REF!&lt;=40, "Mid Age", "Old Age"))</f>
        <v>#REF!</v>
      </c>
      <c r="U812" t="str">
        <f t="shared" si="12"/>
        <v>Okay</v>
      </c>
    </row>
    <row r="813" spans="1:21" x14ac:dyDescent="0.35">
      <c r="A813" t="s">
        <v>1775</v>
      </c>
      <c r="B813" s="13">
        <v>45021</v>
      </c>
      <c r="C813" t="s">
        <v>1776</v>
      </c>
      <c r="D813" t="s">
        <v>13</v>
      </c>
      <c r="E813" t="s">
        <v>14</v>
      </c>
      <c r="F813" t="s">
        <v>28</v>
      </c>
      <c r="G813" t="s">
        <v>55</v>
      </c>
      <c r="H813" t="s">
        <v>67</v>
      </c>
      <c r="I813">
        <v>2</v>
      </c>
      <c r="J813" s="1">
        <v>3794.57</v>
      </c>
      <c r="K813">
        <v>0.05</v>
      </c>
      <c r="L813" s="1">
        <v>9475.19</v>
      </c>
      <c r="M813" s="1">
        <v>3916.81</v>
      </c>
      <c r="N813" s="1">
        <v>23.37</v>
      </c>
      <c r="O813" t="s">
        <v>30</v>
      </c>
      <c r="P813">
        <v>5</v>
      </c>
      <c r="Q813" t="b">
        <v>0</v>
      </c>
      <c r="R813" t="s">
        <v>18</v>
      </c>
      <c r="S813">
        <v>3</v>
      </c>
      <c r="T813" t="e">
        <f>IF(#REF!&lt;=25, "Young Age", IF(#REF!&lt;=40, "Mid Age", "Old Age"))</f>
        <v>#REF!</v>
      </c>
      <c r="U813" t="str">
        <f t="shared" si="12"/>
        <v>Okay</v>
      </c>
    </row>
    <row r="814" spans="1:21" x14ac:dyDescent="0.35">
      <c r="A814" t="s">
        <v>1777</v>
      </c>
      <c r="B814" s="13">
        <v>45520</v>
      </c>
      <c r="C814" t="s">
        <v>1778</v>
      </c>
      <c r="D814" t="s">
        <v>13</v>
      </c>
      <c r="E814" t="s">
        <v>53</v>
      </c>
      <c r="F814" t="s">
        <v>79</v>
      </c>
      <c r="G814" t="s">
        <v>16</v>
      </c>
      <c r="H814" t="s">
        <v>209</v>
      </c>
      <c r="I814">
        <v>2</v>
      </c>
      <c r="J814" s="1">
        <v>1235.5899999999999</v>
      </c>
      <c r="K814">
        <v>0.05</v>
      </c>
      <c r="L814" s="1">
        <v>4007.33</v>
      </c>
      <c r="M814" s="1">
        <v>1780.2</v>
      </c>
      <c r="N814" s="1">
        <v>44.87</v>
      </c>
      <c r="O814" t="s">
        <v>49</v>
      </c>
      <c r="P814">
        <v>1</v>
      </c>
      <c r="Q814" t="b">
        <v>0</v>
      </c>
      <c r="R814" t="s">
        <v>18</v>
      </c>
      <c r="S814" t="s">
        <v>2149</v>
      </c>
      <c r="T814" t="e">
        <f>IF(#REF!&lt;=25, "Young Age", IF(#REF!&lt;=40, "Mid Age", "Old Age"))</f>
        <v>#REF!</v>
      </c>
      <c r="U814" t="str">
        <f t="shared" si="12"/>
        <v>Over Delayed</v>
      </c>
    </row>
    <row r="815" spans="1:21" x14ac:dyDescent="0.35">
      <c r="A815" t="s">
        <v>1779</v>
      </c>
      <c r="B815" s="13">
        <v>44222</v>
      </c>
      <c r="C815" t="s">
        <v>1780</v>
      </c>
      <c r="D815" t="s">
        <v>13</v>
      </c>
      <c r="E815" t="s">
        <v>4</v>
      </c>
      <c r="F815" t="s">
        <v>48</v>
      </c>
      <c r="G815" t="s">
        <v>124</v>
      </c>
      <c r="H815" t="s">
        <v>125</v>
      </c>
      <c r="I815">
        <v>7</v>
      </c>
      <c r="J815" s="1">
        <v>14159.23</v>
      </c>
      <c r="K815">
        <v>0.18</v>
      </c>
      <c r="L815" s="1">
        <v>67291.55</v>
      </c>
      <c r="M815" s="1">
        <v>15098.91</v>
      </c>
      <c r="N815" s="1">
        <v>65.260000000000005</v>
      </c>
      <c r="O815" t="s">
        <v>30</v>
      </c>
      <c r="P815">
        <v>5</v>
      </c>
      <c r="Q815" t="b">
        <v>0</v>
      </c>
      <c r="R815" t="s">
        <v>115</v>
      </c>
      <c r="S815">
        <v>1</v>
      </c>
      <c r="T815" t="e">
        <f>IF(#REF!&lt;=25, "Young Age", IF(#REF!&lt;=40, "Mid Age", "Old Age"))</f>
        <v>#REF!</v>
      </c>
      <c r="U815" t="str">
        <f t="shared" si="12"/>
        <v>Okay</v>
      </c>
    </row>
    <row r="816" spans="1:21" x14ac:dyDescent="0.35">
      <c r="A816" t="s">
        <v>1781</v>
      </c>
      <c r="B816" s="13">
        <v>44125</v>
      </c>
      <c r="C816" t="s">
        <v>1782</v>
      </c>
      <c r="D816" t="s">
        <v>47</v>
      </c>
      <c r="E816" t="s">
        <v>14</v>
      </c>
      <c r="F816" t="s">
        <v>28</v>
      </c>
      <c r="G816" t="s">
        <v>23</v>
      </c>
      <c r="H816" t="s">
        <v>29</v>
      </c>
      <c r="I816">
        <v>8</v>
      </c>
      <c r="J816" s="1">
        <v>32918.629999999997</v>
      </c>
      <c r="K816">
        <v>0.14000000000000001</v>
      </c>
      <c r="L816" s="1">
        <v>208563.97</v>
      </c>
      <c r="M816" s="1">
        <v>70073.179999999993</v>
      </c>
      <c r="N816" s="1">
        <v>49.07</v>
      </c>
      <c r="O816" t="s">
        <v>49</v>
      </c>
      <c r="P816">
        <v>3</v>
      </c>
      <c r="Q816" t="b">
        <v>0</v>
      </c>
      <c r="R816" t="s">
        <v>18</v>
      </c>
      <c r="S816">
        <v>1</v>
      </c>
      <c r="T816" t="e">
        <f>IF(#REF!&lt;=25, "Young Age", IF(#REF!&lt;=40, "Mid Age", "Old Age"))</f>
        <v>#REF!</v>
      </c>
      <c r="U816" t="str">
        <f t="shared" si="12"/>
        <v>Okay</v>
      </c>
    </row>
    <row r="817" spans="1:21" x14ac:dyDescent="0.35">
      <c r="A817" t="s">
        <v>1783</v>
      </c>
      <c r="B817" s="13">
        <v>44893</v>
      </c>
      <c r="C817" t="s">
        <v>1784</v>
      </c>
      <c r="D817" t="s">
        <v>3</v>
      </c>
      <c r="E817" t="s">
        <v>53</v>
      </c>
      <c r="F817" t="s">
        <v>54</v>
      </c>
      <c r="G817" t="s">
        <v>6</v>
      </c>
      <c r="H817" t="s">
        <v>374</v>
      </c>
      <c r="I817">
        <v>3</v>
      </c>
      <c r="J817" s="1">
        <v>394.51</v>
      </c>
      <c r="K817">
        <v>0.05</v>
      </c>
      <c r="L817" s="1">
        <v>858.05</v>
      </c>
      <c r="M817" s="1">
        <v>56.54</v>
      </c>
      <c r="N817" s="1">
        <v>50.11</v>
      </c>
      <c r="O817" t="s">
        <v>57</v>
      </c>
      <c r="P817">
        <v>2</v>
      </c>
      <c r="Q817" t="b">
        <v>0</v>
      </c>
      <c r="R817" t="s">
        <v>115</v>
      </c>
      <c r="S817">
        <v>7</v>
      </c>
      <c r="T817" t="e">
        <f>IF(#REF!&lt;=25, "Young Age", IF(#REF!&lt;=40, "Mid Age", "Old Age"))</f>
        <v>#REF!</v>
      </c>
      <c r="U817" t="str">
        <f t="shared" si="12"/>
        <v>Delayed</v>
      </c>
    </row>
    <row r="818" spans="1:21" x14ac:dyDescent="0.35">
      <c r="A818" t="s">
        <v>1785</v>
      </c>
      <c r="B818" s="13">
        <v>45547</v>
      </c>
      <c r="C818" t="s">
        <v>1786</v>
      </c>
      <c r="D818" t="s">
        <v>47</v>
      </c>
      <c r="E818" t="s">
        <v>4</v>
      </c>
      <c r="F818" t="s">
        <v>148</v>
      </c>
      <c r="G818" t="s">
        <v>6</v>
      </c>
      <c r="H818" t="s">
        <v>353</v>
      </c>
      <c r="I818">
        <v>8</v>
      </c>
      <c r="J818" s="1">
        <v>383.85</v>
      </c>
      <c r="K818">
        <v>0.39</v>
      </c>
      <c r="L818" s="1">
        <v>2308.0500000000002</v>
      </c>
      <c r="M818" s="1">
        <v>155.62</v>
      </c>
      <c r="N818" s="1">
        <v>57.65</v>
      </c>
      <c r="O818" t="s">
        <v>43</v>
      </c>
      <c r="P818">
        <v>1</v>
      </c>
      <c r="Q818" t="b">
        <v>0</v>
      </c>
      <c r="R818" t="s">
        <v>18</v>
      </c>
      <c r="S818">
        <v>10</v>
      </c>
      <c r="T818" t="e">
        <f>IF(#REF!&lt;=25, "Young Age", IF(#REF!&lt;=40, "Mid Age", "Old Age"))</f>
        <v>#REF!</v>
      </c>
      <c r="U818" t="str">
        <f t="shared" si="12"/>
        <v>Over Delayed</v>
      </c>
    </row>
    <row r="819" spans="1:21" x14ac:dyDescent="0.35">
      <c r="A819" t="s">
        <v>1787</v>
      </c>
      <c r="B819" s="13">
        <v>45425</v>
      </c>
      <c r="C819" t="s">
        <v>1788</v>
      </c>
      <c r="D819" t="s">
        <v>47</v>
      </c>
      <c r="E819" t="s">
        <v>61</v>
      </c>
      <c r="F819" t="s">
        <v>62</v>
      </c>
      <c r="G819" t="s">
        <v>23</v>
      </c>
      <c r="H819" t="s">
        <v>71</v>
      </c>
      <c r="I819">
        <v>6</v>
      </c>
      <c r="J819" s="1">
        <v>17147.62</v>
      </c>
      <c r="K819">
        <v>0.11</v>
      </c>
      <c r="L819" s="1">
        <v>182249.65</v>
      </c>
      <c r="M819" s="1">
        <v>41080.800000000003</v>
      </c>
      <c r="N819" s="1">
        <v>87.27</v>
      </c>
      <c r="O819" t="s">
        <v>49</v>
      </c>
      <c r="P819">
        <v>1</v>
      </c>
      <c r="Q819" t="b">
        <v>0</v>
      </c>
      <c r="R819" t="s">
        <v>18</v>
      </c>
      <c r="S819">
        <v>4</v>
      </c>
      <c r="T819" t="e">
        <f>IF(#REF!&lt;=25, "Young Age", IF(#REF!&lt;=40, "Mid Age", "Old Age"))</f>
        <v>#REF!</v>
      </c>
      <c r="U819" t="str">
        <f t="shared" si="12"/>
        <v>Okay</v>
      </c>
    </row>
    <row r="820" spans="1:21" x14ac:dyDescent="0.35">
      <c r="A820" t="s">
        <v>1789</v>
      </c>
      <c r="B820" s="13">
        <v>43967</v>
      </c>
      <c r="C820" t="s">
        <v>1790</v>
      </c>
      <c r="D820" t="s">
        <v>47</v>
      </c>
      <c r="E820" t="s">
        <v>53</v>
      </c>
      <c r="F820" t="s">
        <v>54</v>
      </c>
      <c r="G820" t="s">
        <v>55</v>
      </c>
      <c r="H820" t="s">
        <v>67</v>
      </c>
      <c r="I820">
        <v>1</v>
      </c>
      <c r="J820" s="1">
        <v>507.78</v>
      </c>
      <c r="K820">
        <v>0.16</v>
      </c>
      <c r="L820" s="1">
        <v>592.57000000000005</v>
      </c>
      <c r="M820" s="1">
        <v>186.17</v>
      </c>
      <c r="N820" s="1">
        <v>30.01</v>
      </c>
      <c r="O820" t="s">
        <v>43</v>
      </c>
      <c r="P820">
        <v>1</v>
      </c>
      <c r="Q820" t="b">
        <v>0</v>
      </c>
      <c r="R820" t="s">
        <v>18</v>
      </c>
      <c r="S820">
        <v>10</v>
      </c>
      <c r="T820" t="e">
        <f>IF(#REF!&lt;=25, "Young Age", IF(#REF!&lt;=40, "Mid Age", "Old Age"))</f>
        <v>#REF!</v>
      </c>
      <c r="U820" t="str">
        <f t="shared" si="12"/>
        <v>Over Delayed</v>
      </c>
    </row>
    <row r="821" spans="1:21" x14ac:dyDescent="0.35">
      <c r="A821" t="s">
        <v>1791</v>
      </c>
      <c r="B821" s="13">
        <v>44893</v>
      </c>
      <c r="C821" t="s">
        <v>1792</v>
      </c>
      <c r="D821" t="s">
        <v>47</v>
      </c>
      <c r="E821" t="s">
        <v>53</v>
      </c>
      <c r="F821" t="s">
        <v>114</v>
      </c>
      <c r="G821" t="s">
        <v>16</v>
      </c>
      <c r="H821" t="s">
        <v>80</v>
      </c>
      <c r="I821">
        <v>3</v>
      </c>
      <c r="J821" s="1">
        <v>2301.12</v>
      </c>
      <c r="K821">
        <v>0.01</v>
      </c>
      <c r="L821" s="1">
        <v>5967.23</v>
      </c>
      <c r="M821" s="1">
        <v>3374.68</v>
      </c>
      <c r="N821" s="1">
        <v>44.75</v>
      </c>
      <c r="O821" t="s">
        <v>8</v>
      </c>
      <c r="P821">
        <v>3</v>
      </c>
      <c r="Q821" t="b">
        <v>0</v>
      </c>
      <c r="R821" t="s">
        <v>18</v>
      </c>
      <c r="S821">
        <v>9</v>
      </c>
      <c r="T821" t="e">
        <f>IF(#REF!&lt;=25, "Young Age", IF(#REF!&lt;=40, "Mid Age", "Old Age"))</f>
        <v>#REF!</v>
      </c>
      <c r="U821" t="str">
        <f t="shared" si="12"/>
        <v>Over Delayed</v>
      </c>
    </row>
    <row r="822" spans="1:21" x14ac:dyDescent="0.35">
      <c r="A822" t="s">
        <v>1793</v>
      </c>
      <c r="B822" s="13">
        <v>44508</v>
      </c>
      <c r="C822" t="s">
        <v>1794</v>
      </c>
      <c r="D822" t="s">
        <v>13</v>
      </c>
      <c r="E822" t="s">
        <v>89</v>
      </c>
      <c r="F822" t="s">
        <v>90</v>
      </c>
      <c r="G822" t="s">
        <v>55</v>
      </c>
      <c r="H822" t="s">
        <v>110</v>
      </c>
      <c r="I822">
        <v>8</v>
      </c>
      <c r="J822" s="1">
        <v>371.01</v>
      </c>
      <c r="K822">
        <v>0.05</v>
      </c>
      <c r="L822" s="1">
        <v>2211.38</v>
      </c>
      <c r="M822" s="1">
        <v>677.75</v>
      </c>
      <c r="N822" s="1">
        <v>90.52</v>
      </c>
      <c r="O822" t="s">
        <v>8</v>
      </c>
      <c r="P822">
        <v>3</v>
      </c>
      <c r="Q822" t="b">
        <v>0</v>
      </c>
      <c r="R822" t="s">
        <v>18</v>
      </c>
      <c r="S822">
        <v>4</v>
      </c>
      <c r="T822" t="e">
        <f>IF(#REF!&lt;=25, "Young Age", IF(#REF!&lt;=40, "Mid Age", "Old Age"))</f>
        <v>#REF!</v>
      </c>
      <c r="U822" t="str">
        <f t="shared" si="12"/>
        <v>Okay</v>
      </c>
    </row>
    <row r="823" spans="1:21" x14ac:dyDescent="0.35">
      <c r="A823" t="s">
        <v>1795</v>
      </c>
      <c r="B823" s="13">
        <v>45087</v>
      </c>
      <c r="C823" t="s">
        <v>1796</v>
      </c>
      <c r="D823" t="s">
        <v>13</v>
      </c>
      <c r="E823" t="s">
        <v>14</v>
      </c>
      <c r="F823" t="s">
        <v>28</v>
      </c>
      <c r="G823" t="s">
        <v>105</v>
      </c>
      <c r="H823" t="s">
        <v>120</v>
      </c>
      <c r="I823">
        <v>9</v>
      </c>
      <c r="J823" s="1">
        <v>31196.73</v>
      </c>
      <c r="K823">
        <v>0.12</v>
      </c>
      <c r="L823" s="1">
        <v>368280.67</v>
      </c>
      <c r="M823" s="1">
        <v>38060.11</v>
      </c>
      <c r="N823" s="1">
        <v>59.85</v>
      </c>
      <c r="O823" t="s">
        <v>57</v>
      </c>
      <c r="P823">
        <v>1</v>
      </c>
      <c r="Q823" t="b">
        <v>0</v>
      </c>
      <c r="R823" t="s">
        <v>18</v>
      </c>
      <c r="S823">
        <v>1</v>
      </c>
      <c r="T823" t="e">
        <f>IF(#REF!&lt;=25, "Young Age", IF(#REF!&lt;=40, "Mid Age", "Old Age"))</f>
        <v>#REF!</v>
      </c>
      <c r="U823" t="str">
        <f t="shared" si="12"/>
        <v>Okay</v>
      </c>
    </row>
    <row r="824" spans="1:21" x14ac:dyDescent="0.35">
      <c r="A824" t="s">
        <v>1797</v>
      </c>
      <c r="B824" s="13">
        <v>44556</v>
      </c>
      <c r="C824" t="s">
        <v>1798</v>
      </c>
      <c r="D824" t="s">
        <v>13</v>
      </c>
      <c r="E824" t="s">
        <v>14</v>
      </c>
      <c r="F824" t="s">
        <v>15</v>
      </c>
      <c r="G824" t="s">
        <v>16</v>
      </c>
      <c r="H824" t="s">
        <v>557</v>
      </c>
      <c r="I824">
        <v>1</v>
      </c>
      <c r="J824" s="1">
        <v>2178.9699999999998</v>
      </c>
      <c r="K824">
        <v>0.2</v>
      </c>
      <c r="L824" s="1">
        <v>1341.05</v>
      </c>
      <c r="M824" s="1">
        <v>779.45</v>
      </c>
      <c r="N824" s="1">
        <v>65.86</v>
      </c>
      <c r="O824" t="s">
        <v>8</v>
      </c>
      <c r="P824">
        <v>2</v>
      </c>
      <c r="Q824" t="b">
        <v>1</v>
      </c>
      <c r="R824" t="s">
        <v>9</v>
      </c>
      <c r="S824">
        <v>9</v>
      </c>
      <c r="T824" t="e">
        <f>IF(#REF!&lt;=25, "Young Age", IF(#REF!&lt;=40, "Mid Age", "Old Age"))</f>
        <v>#REF!</v>
      </c>
      <c r="U824" t="str">
        <f t="shared" si="12"/>
        <v>Over Delayed</v>
      </c>
    </row>
    <row r="825" spans="1:21" x14ac:dyDescent="0.35">
      <c r="A825" t="s">
        <v>1799</v>
      </c>
      <c r="B825" s="13">
        <v>43945</v>
      </c>
      <c r="C825" t="s">
        <v>1800</v>
      </c>
      <c r="D825" t="s">
        <v>3</v>
      </c>
      <c r="E825" t="s">
        <v>61</v>
      </c>
      <c r="F825" t="s">
        <v>222</v>
      </c>
      <c r="G825" t="s">
        <v>23</v>
      </c>
      <c r="H825" t="s">
        <v>29</v>
      </c>
      <c r="I825">
        <v>5</v>
      </c>
      <c r="J825" s="1">
        <v>26679.1</v>
      </c>
      <c r="K825">
        <v>0.14000000000000001</v>
      </c>
      <c r="L825" s="1">
        <v>122018.19</v>
      </c>
      <c r="M825" s="1">
        <v>34943.360000000001</v>
      </c>
      <c r="N825" s="1">
        <v>84.72</v>
      </c>
      <c r="O825" t="s">
        <v>43</v>
      </c>
      <c r="P825">
        <v>4</v>
      </c>
      <c r="Q825" t="b">
        <v>0</v>
      </c>
      <c r="R825" t="s">
        <v>115</v>
      </c>
      <c r="S825">
        <v>6</v>
      </c>
      <c r="T825" t="e">
        <f>IF(#REF!&lt;=25, "Young Age", IF(#REF!&lt;=40, "Mid Age", "Old Age"))</f>
        <v>#REF!</v>
      </c>
      <c r="U825" t="str">
        <f t="shared" si="12"/>
        <v>Delayed</v>
      </c>
    </row>
    <row r="826" spans="1:21" x14ac:dyDescent="0.35">
      <c r="A826" t="s">
        <v>1801</v>
      </c>
      <c r="B826" s="13">
        <v>45178</v>
      </c>
      <c r="C826" t="s">
        <v>1802</v>
      </c>
      <c r="D826" t="s">
        <v>47</v>
      </c>
      <c r="E826" t="s">
        <v>53</v>
      </c>
      <c r="F826" t="s">
        <v>54</v>
      </c>
      <c r="G826" t="s">
        <v>23</v>
      </c>
      <c r="H826" t="s">
        <v>29</v>
      </c>
      <c r="I826">
        <v>5</v>
      </c>
      <c r="J826" s="1">
        <v>12592.51</v>
      </c>
      <c r="K826">
        <v>0.28000000000000003</v>
      </c>
      <c r="L826" s="1">
        <v>61837.22</v>
      </c>
      <c r="M826" s="1">
        <v>19148.11</v>
      </c>
      <c r="N826" s="1">
        <v>45.88</v>
      </c>
      <c r="O826" t="s">
        <v>57</v>
      </c>
      <c r="P826">
        <v>1</v>
      </c>
      <c r="Q826" t="b">
        <v>1</v>
      </c>
      <c r="R826" t="s">
        <v>9</v>
      </c>
      <c r="S826">
        <v>5</v>
      </c>
      <c r="T826" t="e">
        <f>IF(#REF!&lt;=25, "Young Age", IF(#REF!&lt;=40, "Mid Age", "Old Age"))</f>
        <v>#REF!</v>
      </c>
      <c r="U826" t="str">
        <f t="shared" si="12"/>
        <v>Delayed</v>
      </c>
    </row>
    <row r="827" spans="1:21" x14ac:dyDescent="0.35">
      <c r="A827" t="s">
        <v>1803</v>
      </c>
      <c r="B827" s="13">
        <v>44017</v>
      </c>
      <c r="C827" t="s">
        <v>1804</v>
      </c>
      <c r="D827" t="s">
        <v>47</v>
      </c>
      <c r="E827" t="s">
        <v>4</v>
      </c>
      <c r="F827" t="s">
        <v>48</v>
      </c>
      <c r="G827" t="s">
        <v>105</v>
      </c>
      <c r="H827" t="s">
        <v>149</v>
      </c>
      <c r="I827">
        <v>3</v>
      </c>
      <c r="J827" s="1">
        <v>65806.63</v>
      </c>
      <c r="K827">
        <v>0.38</v>
      </c>
      <c r="L827" s="1">
        <v>148143.49</v>
      </c>
      <c r="M827" s="1">
        <v>17001.53</v>
      </c>
      <c r="N827" s="1">
        <v>32.06</v>
      </c>
      <c r="O827" t="s">
        <v>30</v>
      </c>
      <c r="P827">
        <v>2</v>
      </c>
      <c r="Q827" t="b">
        <v>0</v>
      </c>
      <c r="R827" t="s">
        <v>18</v>
      </c>
      <c r="S827">
        <v>10</v>
      </c>
      <c r="T827" t="e">
        <f>IF(#REF!&lt;=25, "Young Age", IF(#REF!&lt;=40, "Mid Age", "Old Age"))</f>
        <v>#REF!</v>
      </c>
      <c r="U827" t="str">
        <f t="shared" si="12"/>
        <v>Over Delayed</v>
      </c>
    </row>
    <row r="828" spans="1:21" x14ac:dyDescent="0.35">
      <c r="A828" t="s">
        <v>1805</v>
      </c>
      <c r="B828" s="13">
        <v>45029</v>
      </c>
      <c r="C828" t="s">
        <v>1806</v>
      </c>
      <c r="D828" t="s">
        <v>3</v>
      </c>
      <c r="E828" t="s">
        <v>89</v>
      </c>
      <c r="F828" t="s">
        <v>99</v>
      </c>
      <c r="G828" t="s">
        <v>6</v>
      </c>
      <c r="H828" t="s">
        <v>35</v>
      </c>
      <c r="I828">
        <v>5</v>
      </c>
      <c r="J828" s="1">
        <v>185.61</v>
      </c>
      <c r="K828">
        <v>0.27</v>
      </c>
      <c r="L828" s="1">
        <v>977.56</v>
      </c>
      <c r="M828" s="1">
        <v>69.040000000000006</v>
      </c>
      <c r="N828" s="1">
        <v>58.1</v>
      </c>
      <c r="O828" t="s">
        <v>30</v>
      </c>
      <c r="P828">
        <v>5</v>
      </c>
      <c r="Q828" t="b">
        <v>0</v>
      </c>
      <c r="R828" t="s">
        <v>18</v>
      </c>
      <c r="S828">
        <v>2</v>
      </c>
      <c r="T828" t="e">
        <f>IF(#REF!&lt;=25, "Young Age", IF(#REF!&lt;=40, "Mid Age", "Old Age"))</f>
        <v>#REF!</v>
      </c>
      <c r="U828" t="str">
        <f t="shared" si="12"/>
        <v>Okay</v>
      </c>
    </row>
    <row r="829" spans="1:21" x14ac:dyDescent="0.35">
      <c r="A829" t="s">
        <v>1807</v>
      </c>
      <c r="B829" s="13">
        <v>43991</v>
      </c>
      <c r="C829" t="s">
        <v>1808</v>
      </c>
      <c r="D829" t="s">
        <v>3</v>
      </c>
      <c r="E829" t="s">
        <v>4</v>
      </c>
      <c r="F829" t="s">
        <v>5</v>
      </c>
      <c r="G829" t="s">
        <v>41</v>
      </c>
      <c r="H829" t="s">
        <v>42</v>
      </c>
      <c r="I829">
        <v>3</v>
      </c>
      <c r="J829" s="1">
        <v>575.95000000000005</v>
      </c>
      <c r="K829">
        <v>0</v>
      </c>
      <c r="L829" s="1">
        <v>2110.73</v>
      </c>
      <c r="M829" s="1">
        <v>792.19</v>
      </c>
      <c r="N829" s="1">
        <v>70.41</v>
      </c>
      <c r="O829" t="s">
        <v>43</v>
      </c>
      <c r="P829" t="s">
        <v>2149</v>
      </c>
      <c r="Q829" t="b">
        <v>0</v>
      </c>
      <c r="R829" t="s">
        <v>18</v>
      </c>
      <c r="S829">
        <v>9</v>
      </c>
      <c r="T829" t="e">
        <f>IF(#REF!&lt;=25, "Young Age", IF(#REF!&lt;=40, "Mid Age", "Old Age"))</f>
        <v>#REF!</v>
      </c>
      <c r="U829" t="str">
        <f t="shared" si="12"/>
        <v>Over Delayed</v>
      </c>
    </row>
    <row r="830" spans="1:21" x14ac:dyDescent="0.35">
      <c r="A830" t="s">
        <v>1809</v>
      </c>
      <c r="B830" s="13">
        <v>44032</v>
      </c>
      <c r="C830" t="s">
        <v>1810</v>
      </c>
      <c r="D830" t="s">
        <v>47</v>
      </c>
      <c r="E830" t="s">
        <v>4</v>
      </c>
      <c r="F830" t="s">
        <v>5</v>
      </c>
      <c r="G830" t="s">
        <v>6</v>
      </c>
      <c r="H830" t="s">
        <v>353</v>
      </c>
      <c r="I830">
        <v>8</v>
      </c>
      <c r="J830" s="1">
        <v>353.32</v>
      </c>
      <c r="K830">
        <v>0.31</v>
      </c>
      <c r="L830" s="1">
        <v>2484.7800000000002</v>
      </c>
      <c r="M830" s="1">
        <v>174.59</v>
      </c>
      <c r="N830" s="1">
        <v>72.56</v>
      </c>
      <c r="O830" t="s">
        <v>36</v>
      </c>
      <c r="P830">
        <v>3</v>
      </c>
      <c r="Q830" t="b">
        <v>0</v>
      </c>
      <c r="R830" t="s">
        <v>115</v>
      </c>
      <c r="S830">
        <v>5</v>
      </c>
      <c r="T830" t="e">
        <f>IF(#REF!&lt;=25, "Young Age", IF(#REF!&lt;=40, "Mid Age", "Old Age"))</f>
        <v>#REF!</v>
      </c>
      <c r="U830" t="str">
        <f t="shared" si="12"/>
        <v>Delayed</v>
      </c>
    </row>
    <row r="831" spans="1:21" x14ac:dyDescent="0.35">
      <c r="A831" t="s">
        <v>1811</v>
      </c>
      <c r="B831" s="13">
        <v>45229</v>
      </c>
      <c r="C831" t="s">
        <v>1812</v>
      </c>
      <c r="D831" t="s">
        <v>47</v>
      </c>
      <c r="E831" t="s">
        <v>89</v>
      </c>
      <c r="F831" t="s">
        <v>299</v>
      </c>
      <c r="G831" t="s">
        <v>55</v>
      </c>
      <c r="H831" t="s">
        <v>110</v>
      </c>
      <c r="I831">
        <v>8</v>
      </c>
      <c r="J831" s="1">
        <v>1084.06</v>
      </c>
      <c r="K831">
        <v>0.19</v>
      </c>
      <c r="L831" s="1">
        <v>7119.27</v>
      </c>
      <c r="M831" s="1">
        <v>2636.93</v>
      </c>
      <c r="N831" s="1">
        <v>74.709999999999994</v>
      </c>
      <c r="O831" t="s">
        <v>30</v>
      </c>
      <c r="P831">
        <v>5</v>
      </c>
      <c r="Q831" t="b">
        <v>0</v>
      </c>
      <c r="R831" t="s">
        <v>63</v>
      </c>
      <c r="S831">
        <v>3</v>
      </c>
      <c r="T831" t="e">
        <f>IF(#REF!&lt;=25, "Young Age", IF(#REF!&lt;=40, "Mid Age", "Old Age"))</f>
        <v>#REF!</v>
      </c>
      <c r="U831" t="str">
        <f t="shared" si="12"/>
        <v>Okay</v>
      </c>
    </row>
    <row r="832" spans="1:21" x14ac:dyDescent="0.35">
      <c r="A832" t="s">
        <v>1813</v>
      </c>
      <c r="B832" s="13">
        <v>44810</v>
      </c>
      <c r="C832" t="s">
        <v>1814</v>
      </c>
      <c r="D832" t="s">
        <v>3</v>
      </c>
      <c r="E832" t="s">
        <v>4</v>
      </c>
      <c r="F832" t="s">
        <v>5</v>
      </c>
      <c r="G832" t="s">
        <v>6</v>
      </c>
      <c r="H832" t="s">
        <v>374</v>
      </c>
      <c r="I832">
        <v>10</v>
      </c>
      <c r="J832" s="1">
        <v>133.19999999999999</v>
      </c>
      <c r="K832">
        <v>0.32</v>
      </c>
      <c r="L832" s="1">
        <v>1074.27</v>
      </c>
      <c r="M832" s="1">
        <v>100.19</v>
      </c>
      <c r="N832" s="1">
        <v>64.48</v>
      </c>
      <c r="O832" t="s">
        <v>30</v>
      </c>
      <c r="P832">
        <v>3</v>
      </c>
      <c r="Q832" t="b">
        <v>0</v>
      </c>
      <c r="R832" t="s">
        <v>18</v>
      </c>
      <c r="S832">
        <v>8</v>
      </c>
      <c r="T832" t="e">
        <f>IF(#REF!&lt;=25, "Young Age", IF(#REF!&lt;=40, "Mid Age", "Old Age"))</f>
        <v>#REF!</v>
      </c>
      <c r="U832" t="str">
        <f t="shared" si="12"/>
        <v>Over Delayed</v>
      </c>
    </row>
    <row r="833" spans="1:21" x14ac:dyDescent="0.35">
      <c r="A833" t="s">
        <v>1815</v>
      </c>
      <c r="B833" s="13">
        <v>44362</v>
      </c>
      <c r="C833" t="s">
        <v>1816</v>
      </c>
      <c r="D833" t="s">
        <v>47</v>
      </c>
      <c r="E833" t="s">
        <v>14</v>
      </c>
      <c r="F833" t="s">
        <v>84</v>
      </c>
      <c r="G833" t="s">
        <v>105</v>
      </c>
      <c r="H833" t="s">
        <v>438</v>
      </c>
      <c r="I833">
        <v>9</v>
      </c>
      <c r="J833" s="1">
        <v>72408.179999999993</v>
      </c>
      <c r="K833">
        <v>0.22</v>
      </c>
      <c r="L833" s="1">
        <v>748589.49</v>
      </c>
      <c r="M833" s="1">
        <v>103509.24</v>
      </c>
      <c r="N833" s="1">
        <v>41.95</v>
      </c>
      <c r="O833" t="s">
        <v>8</v>
      </c>
      <c r="P833">
        <v>5</v>
      </c>
      <c r="Q833" t="b">
        <v>0</v>
      </c>
      <c r="R833" t="s">
        <v>18</v>
      </c>
      <c r="S833">
        <v>3</v>
      </c>
      <c r="T833" t="e">
        <f>IF(#REF!&lt;=25, "Young Age", IF(#REF!&lt;=40, "Mid Age", "Old Age"))</f>
        <v>#REF!</v>
      </c>
      <c r="U833" t="str">
        <f t="shared" si="12"/>
        <v>Okay</v>
      </c>
    </row>
    <row r="834" spans="1:21" x14ac:dyDescent="0.35">
      <c r="A834" t="s">
        <v>1817</v>
      </c>
      <c r="B834" s="13">
        <v>44434</v>
      </c>
      <c r="C834" t="s">
        <v>1818</v>
      </c>
      <c r="D834" t="s">
        <v>47</v>
      </c>
      <c r="E834" t="s">
        <v>61</v>
      </c>
      <c r="F834" t="s">
        <v>222</v>
      </c>
      <c r="G834" t="s">
        <v>124</v>
      </c>
      <c r="H834" t="s">
        <v>195</v>
      </c>
      <c r="I834">
        <v>4</v>
      </c>
      <c r="J834" s="1">
        <v>14419.59</v>
      </c>
      <c r="K834">
        <v>0.34</v>
      </c>
      <c r="L834" s="1">
        <v>44932.24</v>
      </c>
      <c r="M834" s="1">
        <v>11862.97</v>
      </c>
      <c r="N834" s="1">
        <v>63.9</v>
      </c>
      <c r="O834" t="s">
        <v>57</v>
      </c>
      <c r="P834">
        <v>2</v>
      </c>
      <c r="Q834" t="b">
        <v>0</v>
      </c>
      <c r="R834" t="s">
        <v>18</v>
      </c>
      <c r="S834">
        <v>4</v>
      </c>
      <c r="T834" t="e">
        <f>IF(#REF!&lt;=25, "Young Age", IF(#REF!&lt;=40, "Mid Age", "Old Age"))</f>
        <v>#REF!</v>
      </c>
      <c r="U834" t="str">
        <f t="shared" ref="U834:U897" si="13">IF(S834 &lt;=4, "Okay", IF(S834 &lt;=7, "Delayed", "Over Delayed"))</f>
        <v>Okay</v>
      </c>
    </row>
    <row r="835" spans="1:21" x14ac:dyDescent="0.35">
      <c r="A835" t="s">
        <v>1819</v>
      </c>
      <c r="B835" s="13">
        <v>44315</v>
      </c>
      <c r="C835" t="s">
        <v>1820</v>
      </c>
      <c r="D835" t="s">
        <v>13</v>
      </c>
      <c r="E835" t="s">
        <v>4</v>
      </c>
      <c r="F835" t="s">
        <v>5</v>
      </c>
      <c r="G835" t="s">
        <v>23</v>
      </c>
      <c r="H835" t="s">
        <v>71</v>
      </c>
      <c r="I835">
        <v>1</v>
      </c>
      <c r="J835" s="1">
        <v>2601.5100000000002</v>
      </c>
      <c r="K835">
        <v>0.02</v>
      </c>
      <c r="L835" s="1">
        <v>3057.58</v>
      </c>
      <c r="M835" s="1">
        <v>856.37</v>
      </c>
      <c r="N835" s="1">
        <v>47.41</v>
      </c>
      <c r="O835" t="s">
        <v>36</v>
      </c>
      <c r="P835">
        <v>2</v>
      </c>
      <c r="Q835" t="b">
        <v>1</v>
      </c>
      <c r="R835" t="s">
        <v>9</v>
      </c>
      <c r="S835">
        <v>9</v>
      </c>
      <c r="T835" t="e">
        <f>IF(#REF!&lt;=25, "Young Age", IF(#REF!&lt;=40, "Mid Age", "Old Age"))</f>
        <v>#REF!</v>
      </c>
      <c r="U835" t="str">
        <f t="shared" si="13"/>
        <v>Over Delayed</v>
      </c>
    </row>
    <row r="836" spans="1:21" x14ac:dyDescent="0.35">
      <c r="A836" t="s">
        <v>1821</v>
      </c>
      <c r="B836" s="13">
        <v>43869</v>
      </c>
      <c r="C836" t="s">
        <v>1822</v>
      </c>
      <c r="D836" t="s">
        <v>3</v>
      </c>
      <c r="E836" t="s">
        <v>61</v>
      </c>
      <c r="F836" t="s">
        <v>271</v>
      </c>
      <c r="G836" t="s">
        <v>6</v>
      </c>
      <c r="H836" t="s">
        <v>35</v>
      </c>
      <c r="I836">
        <v>4</v>
      </c>
      <c r="J836" s="1">
        <v>151.09</v>
      </c>
      <c r="K836">
        <v>0.02</v>
      </c>
      <c r="L836" s="1">
        <v>515.74</v>
      </c>
      <c r="M836" s="1">
        <v>42.51</v>
      </c>
      <c r="N836" s="1">
        <v>80.209999999999994</v>
      </c>
      <c r="O836" t="s">
        <v>8</v>
      </c>
      <c r="P836">
        <v>2</v>
      </c>
      <c r="Q836" t="b">
        <v>0</v>
      </c>
      <c r="R836" t="s">
        <v>18</v>
      </c>
      <c r="S836">
        <v>10</v>
      </c>
      <c r="T836" t="e">
        <f>IF(#REF!&lt;=25, "Young Age", IF(#REF!&lt;=40, "Mid Age", "Old Age"))</f>
        <v>#REF!</v>
      </c>
      <c r="U836" t="str">
        <f t="shared" si="13"/>
        <v>Over Delayed</v>
      </c>
    </row>
    <row r="837" spans="1:21" x14ac:dyDescent="0.35">
      <c r="A837" t="s">
        <v>1823</v>
      </c>
      <c r="B837" s="13">
        <v>44173</v>
      </c>
      <c r="C837" t="s">
        <v>1824</v>
      </c>
      <c r="D837" t="s">
        <v>13</v>
      </c>
      <c r="E837" t="s">
        <v>61</v>
      </c>
      <c r="F837" t="s">
        <v>271</v>
      </c>
      <c r="G837" t="s">
        <v>105</v>
      </c>
      <c r="H837" t="s">
        <v>174</v>
      </c>
      <c r="I837">
        <v>9</v>
      </c>
      <c r="J837" s="1">
        <v>71873.78</v>
      </c>
      <c r="K837">
        <v>0</v>
      </c>
      <c r="L837" s="1">
        <v>456663.98</v>
      </c>
      <c r="M837" s="1">
        <v>59316.97</v>
      </c>
      <c r="N837" s="1">
        <v>91.31</v>
      </c>
      <c r="O837" t="s">
        <v>49</v>
      </c>
      <c r="P837">
        <v>5</v>
      </c>
      <c r="Q837" t="b">
        <v>0</v>
      </c>
      <c r="R837" t="s">
        <v>18</v>
      </c>
      <c r="S837">
        <v>7</v>
      </c>
      <c r="T837" t="e">
        <f>IF(#REF!&lt;=25, "Young Age", IF(#REF!&lt;=40, "Mid Age", "Old Age"))</f>
        <v>#REF!</v>
      </c>
      <c r="U837" t="str">
        <f t="shared" si="13"/>
        <v>Delayed</v>
      </c>
    </row>
    <row r="838" spans="1:21" x14ac:dyDescent="0.35">
      <c r="A838" t="s">
        <v>1825</v>
      </c>
      <c r="B838" s="13">
        <v>45591</v>
      </c>
      <c r="C838" t="s">
        <v>1826</v>
      </c>
      <c r="D838" t="s">
        <v>13</v>
      </c>
      <c r="E838" t="s">
        <v>14</v>
      </c>
      <c r="F838" t="s">
        <v>84</v>
      </c>
      <c r="G838" t="s">
        <v>16</v>
      </c>
      <c r="H838" t="s">
        <v>557</v>
      </c>
      <c r="I838">
        <v>6</v>
      </c>
      <c r="J838" s="1">
        <v>2486.23</v>
      </c>
      <c r="K838">
        <v>0.11</v>
      </c>
      <c r="L838" s="1">
        <v>13804.56</v>
      </c>
      <c r="M838" s="1">
        <v>6763.76</v>
      </c>
      <c r="N838" s="1">
        <v>65.88</v>
      </c>
      <c r="O838" t="s">
        <v>43</v>
      </c>
      <c r="P838">
        <v>4</v>
      </c>
      <c r="Q838" t="b">
        <v>1</v>
      </c>
      <c r="R838" t="s">
        <v>9</v>
      </c>
      <c r="S838">
        <v>8</v>
      </c>
      <c r="T838" t="e">
        <f>IF(#REF!&lt;=25, "Young Age", IF(#REF!&lt;=40, "Mid Age", "Old Age"))</f>
        <v>#REF!</v>
      </c>
      <c r="U838" t="str">
        <f t="shared" si="13"/>
        <v>Over Delayed</v>
      </c>
    </row>
    <row r="839" spans="1:21" x14ac:dyDescent="0.35">
      <c r="A839" t="s">
        <v>1827</v>
      </c>
      <c r="B839" s="13">
        <v>44193</v>
      </c>
      <c r="C839" t="s">
        <v>1828</v>
      </c>
      <c r="D839" t="s">
        <v>3</v>
      </c>
      <c r="E839" t="s">
        <v>4</v>
      </c>
      <c r="F839" t="s">
        <v>5</v>
      </c>
      <c r="G839" t="s">
        <v>6</v>
      </c>
      <c r="H839" t="s">
        <v>35</v>
      </c>
      <c r="I839">
        <v>7</v>
      </c>
      <c r="J839" s="1">
        <v>103.75</v>
      </c>
      <c r="K839">
        <v>0.32</v>
      </c>
      <c r="L839" s="1">
        <v>344.42</v>
      </c>
      <c r="M839" s="1">
        <v>34.770000000000003</v>
      </c>
      <c r="N839" s="1">
        <v>67.069999999999993</v>
      </c>
      <c r="O839" t="s">
        <v>8</v>
      </c>
      <c r="P839">
        <v>5</v>
      </c>
      <c r="Q839" t="b">
        <v>0</v>
      </c>
      <c r="R839" t="s">
        <v>18</v>
      </c>
      <c r="S839">
        <v>4</v>
      </c>
      <c r="T839" t="e">
        <f>IF(#REF!&lt;=25, "Young Age", IF(#REF!&lt;=40, "Mid Age", "Old Age"))</f>
        <v>#REF!</v>
      </c>
      <c r="U839" t="str">
        <f t="shared" si="13"/>
        <v>Okay</v>
      </c>
    </row>
    <row r="840" spans="1:21" x14ac:dyDescent="0.35">
      <c r="A840" t="s">
        <v>1829</v>
      </c>
      <c r="B840" s="13">
        <v>44811</v>
      </c>
      <c r="C840" t="s">
        <v>1830</v>
      </c>
      <c r="D840" t="s">
        <v>3</v>
      </c>
      <c r="E840" t="s">
        <v>89</v>
      </c>
      <c r="F840" t="s">
        <v>90</v>
      </c>
      <c r="G840" t="s">
        <v>105</v>
      </c>
      <c r="H840" t="s">
        <v>149</v>
      </c>
      <c r="I840">
        <v>4</v>
      </c>
      <c r="J840" s="1">
        <v>45635.8</v>
      </c>
      <c r="K840">
        <v>0.04</v>
      </c>
      <c r="L840" s="1">
        <v>195002.92</v>
      </c>
      <c r="M840" s="1">
        <v>30972.52</v>
      </c>
      <c r="N840" s="1">
        <v>69.48</v>
      </c>
      <c r="O840" t="s">
        <v>36</v>
      </c>
      <c r="P840">
        <v>4</v>
      </c>
      <c r="Q840" t="b">
        <v>0</v>
      </c>
      <c r="R840" t="s">
        <v>175</v>
      </c>
      <c r="S840">
        <v>1</v>
      </c>
      <c r="T840" t="e">
        <f>IF(#REF!&lt;=25, "Young Age", IF(#REF!&lt;=40, "Mid Age", "Old Age"))</f>
        <v>#REF!</v>
      </c>
      <c r="U840" t="str">
        <f t="shared" si="13"/>
        <v>Okay</v>
      </c>
    </row>
    <row r="841" spans="1:21" x14ac:dyDescent="0.35">
      <c r="A841" t="s">
        <v>1831</v>
      </c>
      <c r="B841" s="13">
        <v>44404</v>
      </c>
      <c r="C841" t="s">
        <v>1832</v>
      </c>
      <c r="D841" t="s">
        <v>13</v>
      </c>
      <c r="E841" t="s">
        <v>89</v>
      </c>
      <c r="F841" t="s">
        <v>99</v>
      </c>
      <c r="G841" t="s">
        <v>6</v>
      </c>
      <c r="H841" t="s">
        <v>353</v>
      </c>
      <c r="I841">
        <v>8</v>
      </c>
      <c r="J841" s="1">
        <v>239.96</v>
      </c>
      <c r="K841">
        <v>0.33</v>
      </c>
      <c r="L841" s="1">
        <v>1605.72</v>
      </c>
      <c r="M841" s="1">
        <v>116.65</v>
      </c>
      <c r="N841" s="1">
        <v>35.590000000000003</v>
      </c>
      <c r="O841" t="s">
        <v>49</v>
      </c>
      <c r="P841">
        <v>3</v>
      </c>
      <c r="Q841" t="b">
        <v>0</v>
      </c>
      <c r="R841" t="s">
        <v>18</v>
      </c>
      <c r="S841">
        <v>4</v>
      </c>
      <c r="T841" t="e">
        <f>IF(#REF!&lt;=25, "Young Age", IF(#REF!&lt;=40, "Mid Age", "Old Age"))</f>
        <v>#REF!</v>
      </c>
      <c r="U841" t="str">
        <f t="shared" si="13"/>
        <v>Okay</v>
      </c>
    </row>
    <row r="842" spans="1:21" x14ac:dyDescent="0.35">
      <c r="A842" t="s">
        <v>1833</v>
      </c>
      <c r="B842" s="13">
        <v>45331</v>
      </c>
      <c r="C842" t="s">
        <v>1834</v>
      </c>
      <c r="D842" t="s">
        <v>13</v>
      </c>
      <c r="E842" t="s">
        <v>61</v>
      </c>
      <c r="F842" t="s">
        <v>271</v>
      </c>
      <c r="G842" t="s">
        <v>6</v>
      </c>
      <c r="H842" t="s">
        <v>75</v>
      </c>
      <c r="I842">
        <v>1</v>
      </c>
      <c r="J842" s="1">
        <v>65.16</v>
      </c>
      <c r="K842">
        <v>7.0000000000000007E-2</v>
      </c>
      <c r="L842" s="1">
        <v>72.22</v>
      </c>
      <c r="M842" s="1">
        <v>7.37</v>
      </c>
      <c r="N842" s="1">
        <v>93.34</v>
      </c>
      <c r="O842" t="s">
        <v>30</v>
      </c>
      <c r="P842">
        <v>3</v>
      </c>
      <c r="Q842" t="b">
        <v>0</v>
      </c>
      <c r="R842" t="s">
        <v>18</v>
      </c>
      <c r="S842">
        <v>3</v>
      </c>
      <c r="T842" t="e">
        <f>IF(#REF!&lt;=25, "Young Age", IF(#REF!&lt;=40, "Mid Age", "Old Age"))</f>
        <v>#REF!</v>
      </c>
      <c r="U842" t="str">
        <f t="shared" si="13"/>
        <v>Okay</v>
      </c>
    </row>
    <row r="843" spans="1:21" x14ac:dyDescent="0.35">
      <c r="A843" t="s">
        <v>1835</v>
      </c>
      <c r="B843" s="13">
        <v>45220</v>
      </c>
      <c r="C843" t="s">
        <v>1836</v>
      </c>
      <c r="D843" t="s">
        <v>3</v>
      </c>
      <c r="E843" t="s">
        <v>53</v>
      </c>
      <c r="F843" t="s">
        <v>114</v>
      </c>
      <c r="G843" t="s">
        <v>23</v>
      </c>
      <c r="H843" t="s">
        <v>24</v>
      </c>
      <c r="I843">
        <v>10</v>
      </c>
      <c r="J843" s="1">
        <v>6877.63</v>
      </c>
      <c r="K843">
        <v>0.32</v>
      </c>
      <c r="L843" s="1">
        <v>49127.13</v>
      </c>
      <c r="M843" s="1">
        <v>15040.93</v>
      </c>
      <c r="N843" s="1">
        <v>38.46</v>
      </c>
      <c r="O843" t="s">
        <v>49</v>
      </c>
      <c r="P843">
        <v>3</v>
      </c>
      <c r="Q843" t="b">
        <v>0</v>
      </c>
      <c r="R843" t="s">
        <v>18</v>
      </c>
      <c r="S843">
        <v>8</v>
      </c>
      <c r="T843" t="e">
        <f>IF(#REF!&lt;=25, "Young Age", IF(#REF!&lt;=40, "Mid Age", "Old Age"))</f>
        <v>#REF!</v>
      </c>
      <c r="U843" t="str">
        <f t="shared" si="13"/>
        <v>Over Delayed</v>
      </c>
    </row>
    <row r="844" spans="1:21" x14ac:dyDescent="0.35">
      <c r="A844" t="s">
        <v>1837</v>
      </c>
      <c r="B844" s="13">
        <v>45098</v>
      </c>
      <c r="C844" t="s">
        <v>1838</v>
      </c>
      <c r="D844" t="s">
        <v>13</v>
      </c>
      <c r="E844" t="s">
        <v>14</v>
      </c>
      <c r="F844" t="s">
        <v>15</v>
      </c>
      <c r="G844" t="s">
        <v>105</v>
      </c>
      <c r="H844" t="s">
        <v>174</v>
      </c>
      <c r="I844">
        <v>8</v>
      </c>
      <c r="J844" s="1">
        <v>11278.1</v>
      </c>
      <c r="K844">
        <v>0.36</v>
      </c>
      <c r="L844" s="1">
        <v>103626.93</v>
      </c>
      <c r="M844" s="1">
        <v>9357.16</v>
      </c>
      <c r="N844" s="1">
        <v>60.7</v>
      </c>
      <c r="O844" t="s">
        <v>36</v>
      </c>
      <c r="P844">
        <v>3</v>
      </c>
      <c r="Q844" t="b">
        <v>0</v>
      </c>
      <c r="R844" t="s">
        <v>18</v>
      </c>
      <c r="S844">
        <v>8</v>
      </c>
      <c r="T844" t="e">
        <f>IF(#REF!&lt;=25, "Young Age", IF(#REF!&lt;=40, "Mid Age", "Old Age"))</f>
        <v>#REF!</v>
      </c>
      <c r="U844" t="str">
        <f t="shared" si="13"/>
        <v>Over Delayed</v>
      </c>
    </row>
    <row r="845" spans="1:21" x14ac:dyDescent="0.35">
      <c r="A845" t="s">
        <v>1839</v>
      </c>
      <c r="B845" s="13">
        <v>44470</v>
      </c>
      <c r="C845" t="s">
        <v>1840</v>
      </c>
      <c r="D845" t="s">
        <v>3</v>
      </c>
      <c r="E845" t="s">
        <v>61</v>
      </c>
      <c r="F845" t="s">
        <v>222</v>
      </c>
      <c r="G845" t="s">
        <v>16</v>
      </c>
      <c r="H845" t="s">
        <v>80</v>
      </c>
      <c r="I845">
        <v>2</v>
      </c>
      <c r="J845" s="1">
        <v>796.25</v>
      </c>
      <c r="K845">
        <v>0</v>
      </c>
      <c r="L845" s="1">
        <v>1450.96</v>
      </c>
      <c r="M845" s="1">
        <v>572.79999999999995</v>
      </c>
      <c r="N845" s="1">
        <v>70.91</v>
      </c>
      <c r="O845" t="s">
        <v>30</v>
      </c>
      <c r="P845" t="s">
        <v>2149</v>
      </c>
      <c r="Q845" t="b">
        <v>0</v>
      </c>
      <c r="R845" t="s">
        <v>18</v>
      </c>
      <c r="S845">
        <v>3</v>
      </c>
      <c r="T845" t="e">
        <f>IF(#REF!&lt;=25, "Young Age", IF(#REF!&lt;=40, "Mid Age", "Old Age"))</f>
        <v>#REF!</v>
      </c>
      <c r="U845" t="str">
        <f t="shared" si="13"/>
        <v>Okay</v>
      </c>
    </row>
    <row r="846" spans="1:21" x14ac:dyDescent="0.35">
      <c r="A846" t="s">
        <v>1841</v>
      </c>
      <c r="B846" s="13">
        <v>44480</v>
      </c>
      <c r="C846" t="s">
        <v>1840</v>
      </c>
      <c r="D846" t="s">
        <v>47</v>
      </c>
      <c r="E846" t="s">
        <v>14</v>
      </c>
      <c r="F846" t="s">
        <v>84</v>
      </c>
      <c r="G846" t="s">
        <v>41</v>
      </c>
      <c r="H846" t="s">
        <v>477</v>
      </c>
      <c r="I846">
        <v>7</v>
      </c>
      <c r="J846" s="1">
        <v>1187.0999999999999</v>
      </c>
      <c r="K846">
        <v>0.13</v>
      </c>
      <c r="L846" s="1">
        <v>6671.63</v>
      </c>
      <c r="M846" s="1">
        <v>2154.79</v>
      </c>
      <c r="N846" s="1">
        <v>88.18</v>
      </c>
      <c r="O846" t="s">
        <v>30</v>
      </c>
      <c r="P846">
        <v>3</v>
      </c>
      <c r="Q846" t="b">
        <v>0</v>
      </c>
      <c r="R846" t="s">
        <v>18</v>
      </c>
      <c r="S846">
        <v>5</v>
      </c>
      <c r="T846" t="e">
        <f>IF(#REF!&lt;=25, "Young Age", IF(#REF!&lt;=40, "Mid Age", "Old Age"))</f>
        <v>#REF!</v>
      </c>
      <c r="U846" t="str">
        <f t="shared" si="13"/>
        <v>Delayed</v>
      </c>
    </row>
    <row r="847" spans="1:21" x14ac:dyDescent="0.35">
      <c r="A847" t="s">
        <v>1842</v>
      </c>
      <c r="B847" s="13">
        <v>44554</v>
      </c>
      <c r="C847" t="s">
        <v>1843</v>
      </c>
      <c r="D847" t="s">
        <v>47</v>
      </c>
      <c r="E847" t="s">
        <v>4</v>
      </c>
      <c r="F847" t="s">
        <v>48</v>
      </c>
      <c r="G847" t="s">
        <v>55</v>
      </c>
      <c r="H847" t="s">
        <v>110</v>
      </c>
      <c r="I847">
        <v>3</v>
      </c>
      <c r="J847" s="1">
        <v>3628.14</v>
      </c>
      <c r="K847">
        <v>0.24</v>
      </c>
      <c r="L847" s="1">
        <v>6186.65</v>
      </c>
      <c r="M847" s="1">
        <v>2322.3200000000002</v>
      </c>
      <c r="N847" s="1">
        <v>52.79</v>
      </c>
      <c r="O847" t="s">
        <v>30</v>
      </c>
      <c r="P847">
        <v>2</v>
      </c>
      <c r="Q847" t="b">
        <v>0</v>
      </c>
      <c r="R847" t="s">
        <v>18</v>
      </c>
      <c r="S847">
        <v>1</v>
      </c>
      <c r="T847" t="e">
        <f>IF(#REF!&lt;=25, "Young Age", IF(#REF!&lt;=40, "Mid Age", "Old Age"))</f>
        <v>#REF!</v>
      </c>
      <c r="U847" t="str">
        <f t="shared" si="13"/>
        <v>Okay</v>
      </c>
    </row>
    <row r="848" spans="1:21" x14ac:dyDescent="0.35">
      <c r="A848" t="s">
        <v>1844</v>
      </c>
      <c r="B848" s="13">
        <v>45010</v>
      </c>
      <c r="C848" t="s">
        <v>1845</v>
      </c>
      <c r="D848" t="s">
        <v>13</v>
      </c>
      <c r="E848" t="s">
        <v>89</v>
      </c>
      <c r="F848" t="s">
        <v>119</v>
      </c>
      <c r="G848" t="s">
        <v>16</v>
      </c>
      <c r="H848" t="s">
        <v>390</v>
      </c>
      <c r="J848" s="1">
        <v>1290.8800000000001</v>
      </c>
      <c r="K848">
        <v>0.31</v>
      </c>
      <c r="L848" s="1">
        <v>991.85</v>
      </c>
      <c r="M848" s="1">
        <v>309.77999999999997</v>
      </c>
      <c r="N848" s="1">
        <v>68.06</v>
      </c>
      <c r="O848" t="s">
        <v>43</v>
      </c>
      <c r="P848">
        <v>1</v>
      </c>
      <c r="Q848" t="b">
        <v>1</v>
      </c>
      <c r="R848" t="s">
        <v>9</v>
      </c>
      <c r="S848">
        <v>5</v>
      </c>
      <c r="T848" t="e">
        <f>IF(#REF!&lt;=25, "Young Age", IF(#REF!&lt;=40, "Mid Age", "Old Age"))</f>
        <v>#REF!</v>
      </c>
      <c r="U848" t="str">
        <f t="shared" si="13"/>
        <v>Delayed</v>
      </c>
    </row>
    <row r="849" spans="1:21" x14ac:dyDescent="0.35">
      <c r="A849" t="s">
        <v>1846</v>
      </c>
      <c r="B849" s="13">
        <v>45016</v>
      </c>
      <c r="C849" t="s">
        <v>1847</v>
      </c>
      <c r="D849" t="s">
        <v>13</v>
      </c>
      <c r="E849" t="s">
        <v>53</v>
      </c>
      <c r="F849" t="s">
        <v>54</v>
      </c>
      <c r="G849" t="s">
        <v>124</v>
      </c>
      <c r="H849" t="s">
        <v>195</v>
      </c>
      <c r="I849">
        <v>8</v>
      </c>
      <c r="J849" s="1">
        <v>12824.11</v>
      </c>
      <c r="K849">
        <v>0.11</v>
      </c>
      <c r="L849" s="1">
        <v>124055.48</v>
      </c>
      <c r="M849" s="1">
        <v>29606.32</v>
      </c>
      <c r="N849" s="1">
        <v>76.78</v>
      </c>
      <c r="O849" t="s">
        <v>43</v>
      </c>
      <c r="P849">
        <v>2</v>
      </c>
      <c r="Q849" t="b">
        <v>0</v>
      </c>
      <c r="R849" t="s">
        <v>18</v>
      </c>
      <c r="S849">
        <v>6</v>
      </c>
      <c r="T849" t="e">
        <f>IF(#REF!&lt;=25, "Young Age", IF(#REF!&lt;=40, "Mid Age", "Old Age"))</f>
        <v>#REF!</v>
      </c>
      <c r="U849" t="str">
        <f t="shared" si="13"/>
        <v>Delayed</v>
      </c>
    </row>
    <row r="850" spans="1:21" x14ac:dyDescent="0.35">
      <c r="A850" t="s">
        <v>1848</v>
      </c>
      <c r="B850" s="13">
        <v>44932</v>
      </c>
      <c r="C850" t="s">
        <v>1849</v>
      </c>
      <c r="D850" t="s">
        <v>13</v>
      </c>
      <c r="E850" t="s">
        <v>14</v>
      </c>
      <c r="F850" t="s">
        <v>22</v>
      </c>
      <c r="G850" t="s">
        <v>16</v>
      </c>
      <c r="H850" t="s">
        <v>390</v>
      </c>
      <c r="I850">
        <v>3</v>
      </c>
      <c r="J850" s="1">
        <v>1967.85</v>
      </c>
      <c r="K850">
        <v>0.31</v>
      </c>
      <c r="L850" s="1">
        <v>3268.13</v>
      </c>
      <c r="M850" s="1">
        <v>1309.3499999999999</v>
      </c>
      <c r="N850" s="1">
        <v>55</v>
      </c>
      <c r="O850" t="s">
        <v>43</v>
      </c>
      <c r="P850">
        <v>3</v>
      </c>
      <c r="Q850" t="b">
        <v>0</v>
      </c>
      <c r="R850" t="s">
        <v>18</v>
      </c>
      <c r="S850">
        <v>2</v>
      </c>
      <c r="T850" t="e">
        <f>IF(#REF!&lt;=25, "Young Age", IF(#REF!&lt;=40, "Mid Age", "Old Age"))</f>
        <v>#REF!</v>
      </c>
      <c r="U850" t="str">
        <f t="shared" si="13"/>
        <v>Okay</v>
      </c>
    </row>
    <row r="851" spans="1:21" x14ac:dyDescent="0.35">
      <c r="A851" t="s">
        <v>1850</v>
      </c>
      <c r="B851" s="13">
        <v>44568</v>
      </c>
      <c r="C851" t="s">
        <v>1851</v>
      </c>
      <c r="D851" t="s">
        <v>13</v>
      </c>
      <c r="E851" t="s">
        <v>61</v>
      </c>
      <c r="F851" t="s">
        <v>271</v>
      </c>
      <c r="G851" t="s">
        <v>55</v>
      </c>
      <c r="H851" t="s">
        <v>91</v>
      </c>
      <c r="I851">
        <v>1</v>
      </c>
      <c r="J851" s="1">
        <v>1100.4000000000001</v>
      </c>
      <c r="K851">
        <v>0.24</v>
      </c>
      <c r="L851" s="1">
        <v>775.04</v>
      </c>
      <c r="M851" s="1">
        <v>226.32</v>
      </c>
      <c r="N851" s="1">
        <v>62.15</v>
      </c>
      <c r="O851" t="s">
        <v>49</v>
      </c>
      <c r="P851">
        <v>2</v>
      </c>
      <c r="Q851" t="b">
        <v>0</v>
      </c>
      <c r="R851" t="s">
        <v>18</v>
      </c>
      <c r="S851">
        <v>8</v>
      </c>
      <c r="T851" t="e">
        <f>IF(#REF!&lt;=25, "Young Age", IF(#REF!&lt;=40, "Mid Age", "Old Age"))</f>
        <v>#REF!</v>
      </c>
      <c r="U851" t="str">
        <f t="shared" si="13"/>
        <v>Over Delayed</v>
      </c>
    </row>
    <row r="852" spans="1:21" x14ac:dyDescent="0.35">
      <c r="A852" t="s">
        <v>1852</v>
      </c>
      <c r="B852" s="13">
        <v>45519</v>
      </c>
      <c r="C852" t="s">
        <v>1853</v>
      </c>
      <c r="D852" t="s">
        <v>13</v>
      </c>
      <c r="E852" t="s">
        <v>61</v>
      </c>
      <c r="F852" t="s">
        <v>104</v>
      </c>
      <c r="G852" t="s">
        <v>6</v>
      </c>
      <c r="H852" t="s">
        <v>353</v>
      </c>
      <c r="I852">
        <v>9</v>
      </c>
      <c r="J852" s="1">
        <v>239.9</v>
      </c>
      <c r="K852">
        <v>0.31</v>
      </c>
      <c r="L852" s="1">
        <v>2368.54</v>
      </c>
      <c r="M852" s="1">
        <v>226.16</v>
      </c>
      <c r="N852" s="1">
        <v>93.43</v>
      </c>
      <c r="O852" t="s">
        <v>43</v>
      </c>
      <c r="P852">
        <v>5</v>
      </c>
      <c r="Q852" t="b">
        <v>0</v>
      </c>
      <c r="R852" t="s">
        <v>18</v>
      </c>
      <c r="S852">
        <v>1</v>
      </c>
      <c r="T852" t="e">
        <f>IF(#REF!&lt;=25, "Young Age", IF(#REF!&lt;=40, "Mid Age", "Old Age"))</f>
        <v>#REF!</v>
      </c>
      <c r="U852" t="str">
        <f t="shared" si="13"/>
        <v>Okay</v>
      </c>
    </row>
    <row r="853" spans="1:21" x14ac:dyDescent="0.35">
      <c r="A853" t="s">
        <v>1854</v>
      </c>
      <c r="B853" s="13">
        <v>44419</v>
      </c>
      <c r="C853" t="s">
        <v>1855</v>
      </c>
      <c r="D853" t="s">
        <v>13</v>
      </c>
      <c r="E853" t="s">
        <v>61</v>
      </c>
      <c r="F853" t="s">
        <v>104</v>
      </c>
      <c r="G853" t="s">
        <v>16</v>
      </c>
      <c r="H853" t="s">
        <v>17</v>
      </c>
      <c r="I853">
        <v>5</v>
      </c>
      <c r="J853" s="1">
        <v>1439.39</v>
      </c>
      <c r="K853">
        <v>0</v>
      </c>
      <c r="L853" s="1">
        <v>10354.540000000001</v>
      </c>
      <c r="M853" s="1">
        <v>4272.04</v>
      </c>
      <c r="N853" s="1">
        <v>86.11</v>
      </c>
      <c r="O853" t="s">
        <v>8</v>
      </c>
      <c r="P853">
        <v>3</v>
      </c>
      <c r="Q853" t="b">
        <v>0</v>
      </c>
      <c r="R853" t="s">
        <v>18</v>
      </c>
      <c r="S853">
        <v>5</v>
      </c>
      <c r="T853" t="e">
        <f>IF(#REF!&lt;=25, "Young Age", IF(#REF!&lt;=40, "Mid Age", "Old Age"))</f>
        <v>#REF!</v>
      </c>
      <c r="U853" t="str">
        <f t="shared" si="13"/>
        <v>Delayed</v>
      </c>
    </row>
    <row r="854" spans="1:21" x14ac:dyDescent="0.35">
      <c r="A854" t="s">
        <v>1856</v>
      </c>
      <c r="B854" s="13">
        <v>44172</v>
      </c>
      <c r="C854" t="s">
        <v>1857</v>
      </c>
      <c r="D854" t="s">
        <v>47</v>
      </c>
      <c r="E854" t="s">
        <v>14</v>
      </c>
      <c r="F854" t="s">
        <v>22</v>
      </c>
      <c r="G854" t="s">
        <v>16</v>
      </c>
      <c r="H854" t="s">
        <v>17</v>
      </c>
      <c r="I854">
        <v>2</v>
      </c>
      <c r="J854" s="1">
        <v>2232.87</v>
      </c>
      <c r="K854">
        <v>0.03</v>
      </c>
      <c r="L854" s="1">
        <v>2646.86</v>
      </c>
      <c r="M854" s="1">
        <v>806.76</v>
      </c>
      <c r="N854" s="1">
        <v>54.23</v>
      </c>
      <c r="O854" t="s">
        <v>57</v>
      </c>
      <c r="P854">
        <v>2</v>
      </c>
      <c r="Q854" t="b">
        <v>0</v>
      </c>
      <c r="R854" t="s">
        <v>115</v>
      </c>
      <c r="S854">
        <v>8</v>
      </c>
      <c r="T854" t="e">
        <f>IF(#REF!&lt;=25, "Young Age", IF(#REF!&lt;=40, "Mid Age", "Old Age"))</f>
        <v>#REF!</v>
      </c>
      <c r="U854" t="str">
        <f t="shared" si="13"/>
        <v>Over Delayed</v>
      </c>
    </row>
    <row r="855" spans="1:21" x14ac:dyDescent="0.35">
      <c r="A855" t="s">
        <v>1858</v>
      </c>
      <c r="B855" s="13">
        <v>44320</v>
      </c>
      <c r="C855" t="s">
        <v>1859</v>
      </c>
      <c r="D855" t="s">
        <v>3</v>
      </c>
      <c r="E855" t="s">
        <v>61</v>
      </c>
      <c r="F855" t="s">
        <v>271</v>
      </c>
      <c r="G855" t="s">
        <v>41</v>
      </c>
      <c r="H855" t="s">
        <v>129</v>
      </c>
      <c r="I855">
        <v>10</v>
      </c>
      <c r="J855" s="1">
        <v>924.25</v>
      </c>
      <c r="K855">
        <v>0.28000000000000003</v>
      </c>
      <c r="L855" s="1">
        <v>8777.25</v>
      </c>
      <c r="M855" s="1">
        <v>3626.02</v>
      </c>
      <c r="N855" s="1">
        <v>85.57</v>
      </c>
      <c r="O855" t="s">
        <v>43</v>
      </c>
      <c r="P855">
        <v>4</v>
      </c>
      <c r="Q855" t="b">
        <v>0</v>
      </c>
      <c r="R855" t="s">
        <v>18</v>
      </c>
      <c r="S855">
        <v>10</v>
      </c>
      <c r="T855" t="e">
        <f>IF(#REF!&lt;=25, "Young Age", IF(#REF!&lt;=40, "Mid Age", "Old Age"))</f>
        <v>#REF!</v>
      </c>
      <c r="U855" t="str">
        <f t="shared" si="13"/>
        <v>Over Delayed</v>
      </c>
    </row>
    <row r="856" spans="1:21" x14ac:dyDescent="0.35">
      <c r="A856" t="s">
        <v>1860</v>
      </c>
      <c r="B856" s="13">
        <v>43998</v>
      </c>
      <c r="C856" t="s">
        <v>1861</v>
      </c>
      <c r="D856" t="s">
        <v>13</v>
      </c>
      <c r="E856" t="s">
        <v>4</v>
      </c>
      <c r="F856" t="s">
        <v>34</v>
      </c>
      <c r="G856" t="s">
        <v>105</v>
      </c>
      <c r="H856" t="s">
        <v>106</v>
      </c>
      <c r="I856">
        <v>3</v>
      </c>
      <c r="J856" s="1">
        <v>10166.75</v>
      </c>
      <c r="K856">
        <v>0.15</v>
      </c>
      <c r="L856" s="1">
        <v>31838.58</v>
      </c>
      <c r="M856" s="1">
        <v>4120.93</v>
      </c>
      <c r="N856" s="1">
        <v>82.1</v>
      </c>
      <c r="O856" t="s">
        <v>57</v>
      </c>
      <c r="P856" t="s">
        <v>2149</v>
      </c>
      <c r="Q856" t="b">
        <v>0</v>
      </c>
      <c r="R856" t="s">
        <v>18</v>
      </c>
      <c r="S856">
        <v>3</v>
      </c>
      <c r="T856" t="e">
        <f>IF(#REF!&lt;=25, "Young Age", IF(#REF!&lt;=40, "Mid Age", "Old Age"))</f>
        <v>#REF!</v>
      </c>
      <c r="U856" t="str">
        <f t="shared" si="13"/>
        <v>Okay</v>
      </c>
    </row>
    <row r="857" spans="1:21" x14ac:dyDescent="0.35">
      <c r="A857" t="s">
        <v>1862</v>
      </c>
      <c r="B857" s="13">
        <v>44297</v>
      </c>
      <c r="C857" t="s">
        <v>1863</v>
      </c>
      <c r="D857" t="s">
        <v>47</v>
      </c>
      <c r="E857" t="s">
        <v>61</v>
      </c>
      <c r="F857" t="s">
        <v>104</v>
      </c>
      <c r="G857" t="s">
        <v>41</v>
      </c>
      <c r="H857" t="s">
        <v>477</v>
      </c>
      <c r="I857">
        <v>9</v>
      </c>
      <c r="J857" s="1">
        <v>910.81</v>
      </c>
      <c r="K857">
        <v>0.16</v>
      </c>
      <c r="L857" s="1">
        <v>8709.8799999999992</v>
      </c>
      <c r="M857" s="1">
        <v>4127.79</v>
      </c>
      <c r="N857" s="1">
        <v>59.89</v>
      </c>
      <c r="O857" t="s">
        <v>36</v>
      </c>
      <c r="P857">
        <v>4</v>
      </c>
      <c r="Q857" t="b">
        <v>0</v>
      </c>
      <c r="R857" t="s">
        <v>18</v>
      </c>
      <c r="S857">
        <v>9</v>
      </c>
      <c r="T857" t="e">
        <f>IF(#REF!&lt;=25, "Young Age", IF(#REF!&lt;=40, "Mid Age", "Old Age"))</f>
        <v>#REF!</v>
      </c>
      <c r="U857" t="str">
        <f t="shared" si="13"/>
        <v>Over Delayed</v>
      </c>
    </row>
    <row r="858" spans="1:21" x14ac:dyDescent="0.35">
      <c r="A858" t="s">
        <v>1864</v>
      </c>
      <c r="B858" s="13">
        <v>44233</v>
      </c>
      <c r="C858" t="s">
        <v>1865</v>
      </c>
      <c r="D858" t="s">
        <v>13</v>
      </c>
      <c r="E858" t="s">
        <v>4</v>
      </c>
      <c r="F858" t="s">
        <v>5</v>
      </c>
      <c r="G858" t="s">
        <v>23</v>
      </c>
      <c r="H858" t="s">
        <v>164</v>
      </c>
      <c r="I858">
        <v>8</v>
      </c>
      <c r="J858" s="1">
        <v>10068.23</v>
      </c>
      <c r="K858">
        <v>0.21</v>
      </c>
      <c r="L858" s="1">
        <v>63872.39</v>
      </c>
      <c r="M858" s="1">
        <v>14763.69</v>
      </c>
      <c r="N858" s="1">
        <v>69.23</v>
      </c>
      <c r="O858" t="s">
        <v>43</v>
      </c>
      <c r="P858">
        <v>3</v>
      </c>
      <c r="Q858" t="b">
        <v>0</v>
      </c>
      <c r="R858" t="s">
        <v>18</v>
      </c>
      <c r="S858">
        <v>9</v>
      </c>
      <c r="T858" t="e">
        <f>IF(#REF!&lt;=25, "Young Age", IF(#REF!&lt;=40, "Mid Age", "Old Age"))</f>
        <v>#REF!</v>
      </c>
      <c r="U858" t="str">
        <f t="shared" si="13"/>
        <v>Over Delayed</v>
      </c>
    </row>
    <row r="859" spans="1:21" x14ac:dyDescent="0.35">
      <c r="A859" t="s">
        <v>1866</v>
      </c>
      <c r="B859" s="13">
        <v>45168</v>
      </c>
      <c r="C859" t="s">
        <v>1867</v>
      </c>
      <c r="D859" t="s">
        <v>47</v>
      </c>
      <c r="E859" t="s">
        <v>53</v>
      </c>
      <c r="F859" t="s">
        <v>54</v>
      </c>
      <c r="G859" t="s">
        <v>16</v>
      </c>
      <c r="H859" t="s">
        <v>557</v>
      </c>
      <c r="I859">
        <v>6</v>
      </c>
      <c r="J859" s="1">
        <v>398.85</v>
      </c>
      <c r="K859">
        <v>0.17</v>
      </c>
      <c r="L859" s="1">
        <v>2675.94</v>
      </c>
      <c r="M859" s="1">
        <v>1500.2</v>
      </c>
      <c r="N859" s="1">
        <v>56.56</v>
      </c>
      <c r="O859" t="s">
        <v>36</v>
      </c>
      <c r="P859">
        <v>2</v>
      </c>
      <c r="Q859" t="b">
        <v>0</v>
      </c>
      <c r="R859" t="s">
        <v>175</v>
      </c>
      <c r="S859">
        <v>10</v>
      </c>
      <c r="T859" t="e">
        <f>IF(#REF!&lt;=25, "Young Age", IF(#REF!&lt;=40, "Mid Age", "Old Age"))</f>
        <v>#REF!</v>
      </c>
      <c r="U859" t="str">
        <f t="shared" si="13"/>
        <v>Over Delayed</v>
      </c>
    </row>
    <row r="860" spans="1:21" x14ac:dyDescent="0.35">
      <c r="A860" t="s">
        <v>1868</v>
      </c>
      <c r="B860" s="13">
        <v>45491</v>
      </c>
      <c r="C860" t="s">
        <v>1869</v>
      </c>
      <c r="D860" t="s">
        <v>47</v>
      </c>
      <c r="E860" t="s">
        <v>14</v>
      </c>
      <c r="F860" t="s">
        <v>22</v>
      </c>
      <c r="G860" t="s">
        <v>55</v>
      </c>
      <c r="H860" t="s">
        <v>185</v>
      </c>
      <c r="I860">
        <v>4</v>
      </c>
      <c r="J860" s="1">
        <v>2908.06</v>
      </c>
      <c r="K860">
        <v>0.14000000000000001</v>
      </c>
      <c r="L860" s="1">
        <v>14896.36</v>
      </c>
      <c r="M860" s="1">
        <v>4991.17</v>
      </c>
      <c r="N860" s="1">
        <v>65.75</v>
      </c>
      <c r="O860" t="s">
        <v>43</v>
      </c>
      <c r="P860">
        <v>5</v>
      </c>
      <c r="Q860" t="b">
        <v>0</v>
      </c>
      <c r="R860" t="s">
        <v>18</v>
      </c>
      <c r="S860">
        <v>8</v>
      </c>
      <c r="T860" t="e">
        <f>IF(#REF!&lt;=25, "Young Age", IF(#REF!&lt;=40, "Mid Age", "Old Age"))</f>
        <v>#REF!</v>
      </c>
      <c r="U860" t="str">
        <f t="shared" si="13"/>
        <v>Over Delayed</v>
      </c>
    </row>
    <row r="861" spans="1:21" x14ac:dyDescent="0.35">
      <c r="A861" t="s">
        <v>1870</v>
      </c>
      <c r="B861" s="13">
        <v>45348</v>
      </c>
      <c r="C861" t="s">
        <v>1871</v>
      </c>
      <c r="D861" t="s">
        <v>3</v>
      </c>
      <c r="E861" t="s">
        <v>61</v>
      </c>
      <c r="F861" t="s">
        <v>271</v>
      </c>
      <c r="G861" t="s">
        <v>105</v>
      </c>
      <c r="H861" t="s">
        <v>120</v>
      </c>
      <c r="I861">
        <v>3</v>
      </c>
      <c r="J861" s="1">
        <v>60157.14</v>
      </c>
      <c r="K861">
        <v>0.06</v>
      </c>
      <c r="L861" s="1">
        <v>169372.37</v>
      </c>
      <c r="M861" s="1">
        <v>28219.11</v>
      </c>
      <c r="N861" s="1">
        <v>69.5</v>
      </c>
      <c r="O861" t="s">
        <v>43</v>
      </c>
      <c r="P861">
        <v>4</v>
      </c>
      <c r="Q861" t="b">
        <v>0</v>
      </c>
      <c r="R861" t="s">
        <v>18</v>
      </c>
      <c r="S861">
        <v>7</v>
      </c>
      <c r="T861" t="e">
        <f>IF(#REF!&lt;=25, "Young Age", IF(#REF!&lt;=40, "Mid Age", "Old Age"))</f>
        <v>#REF!</v>
      </c>
      <c r="U861" t="str">
        <f t="shared" si="13"/>
        <v>Delayed</v>
      </c>
    </row>
    <row r="862" spans="1:21" x14ac:dyDescent="0.35">
      <c r="A862" t="s">
        <v>1872</v>
      </c>
      <c r="B862" s="13">
        <v>43974</v>
      </c>
      <c r="C862" t="s">
        <v>1873</v>
      </c>
      <c r="D862" t="s">
        <v>3</v>
      </c>
      <c r="E862" t="s">
        <v>89</v>
      </c>
      <c r="F862" t="s">
        <v>99</v>
      </c>
      <c r="G862" t="s">
        <v>23</v>
      </c>
      <c r="H862" t="s">
        <v>71</v>
      </c>
      <c r="J862" s="1">
        <v>22329.62</v>
      </c>
      <c r="K862">
        <v>0.19</v>
      </c>
      <c r="L862" s="1">
        <v>20552.2</v>
      </c>
      <c r="M862" s="1">
        <v>4765.0200000000004</v>
      </c>
      <c r="N862" s="1">
        <v>69.17</v>
      </c>
      <c r="O862" t="s">
        <v>43</v>
      </c>
      <c r="P862">
        <v>4</v>
      </c>
      <c r="Q862" t="b">
        <v>0</v>
      </c>
      <c r="R862" t="s">
        <v>18</v>
      </c>
      <c r="S862">
        <v>4</v>
      </c>
      <c r="T862" t="e">
        <f>IF(#REF!&lt;=25, "Young Age", IF(#REF!&lt;=40, "Mid Age", "Old Age"))</f>
        <v>#REF!</v>
      </c>
      <c r="U862" t="str">
        <f t="shared" si="13"/>
        <v>Okay</v>
      </c>
    </row>
    <row r="863" spans="1:21" x14ac:dyDescent="0.35">
      <c r="A863" t="s">
        <v>1874</v>
      </c>
      <c r="B863" s="13">
        <v>44746</v>
      </c>
      <c r="C863" t="s">
        <v>1875</v>
      </c>
      <c r="D863" t="s">
        <v>3</v>
      </c>
      <c r="E863" t="s">
        <v>14</v>
      </c>
      <c r="F863" t="s">
        <v>28</v>
      </c>
      <c r="G863" t="s">
        <v>105</v>
      </c>
      <c r="H863" t="s">
        <v>149</v>
      </c>
      <c r="I863">
        <v>9</v>
      </c>
      <c r="J863" s="1">
        <v>34736.78</v>
      </c>
      <c r="K863">
        <v>0.4</v>
      </c>
      <c r="L863" s="1">
        <v>281102.55</v>
      </c>
      <c r="M863" s="1">
        <v>27723.9</v>
      </c>
      <c r="N863" s="1">
        <v>59.96</v>
      </c>
      <c r="O863" t="s">
        <v>8</v>
      </c>
      <c r="P863">
        <v>3</v>
      </c>
      <c r="Q863" t="b">
        <v>0</v>
      </c>
      <c r="R863" t="s">
        <v>18</v>
      </c>
      <c r="S863">
        <v>4</v>
      </c>
      <c r="T863" t="e">
        <f>IF(#REF!&lt;=25, "Young Age", IF(#REF!&lt;=40, "Mid Age", "Old Age"))</f>
        <v>#REF!</v>
      </c>
      <c r="U863" t="str">
        <f t="shared" si="13"/>
        <v>Okay</v>
      </c>
    </row>
    <row r="864" spans="1:21" x14ac:dyDescent="0.35">
      <c r="A864" t="s">
        <v>1317</v>
      </c>
      <c r="B864" s="13">
        <v>44393</v>
      </c>
      <c r="C864" t="s">
        <v>1318</v>
      </c>
      <c r="D864" t="s">
        <v>13</v>
      </c>
      <c r="E864" t="s">
        <v>53</v>
      </c>
      <c r="F864" t="s">
        <v>170</v>
      </c>
      <c r="G864" t="s">
        <v>124</v>
      </c>
      <c r="H864" t="s">
        <v>195</v>
      </c>
      <c r="I864">
        <v>9</v>
      </c>
      <c r="J864" s="1">
        <v>10077.49</v>
      </c>
      <c r="K864">
        <v>0.34</v>
      </c>
      <c r="L864" s="1">
        <v>84123.31</v>
      </c>
      <c r="M864" s="1">
        <v>16599.27</v>
      </c>
      <c r="N864" s="1">
        <v>71.95</v>
      </c>
      <c r="O864" t="s">
        <v>43</v>
      </c>
      <c r="P864">
        <v>3</v>
      </c>
      <c r="Q864" t="b">
        <v>0</v>
      </c>
      <c r="R864" t="s">
        <v>18</v>
      </c>
      <c r="S864">
        <v>2</v>
      </c>
      <c r="T864" t="e">
        <f>IF(#REF!&lt;=25, "Young Age", IF(#REF!&lt;=40, "Mid Age", "Old Age"))</f>
        <v>#REF!</v>
      </c>
      <c r="U864" t="str">
        <f t="shared" si="13"/>
        <v>Okay</v>
      </c>
    </row>
    <row r="865" spans="1:21" x14ac:dyDescent="0.35">
      <c r="A865" t="s">
        <v>1876</v>
      </c>
      <c r="B865" s="13">
        <v>43897</v>
      </c>
      <c r="C865" t="s">
        <v>1877</v>
      </c>
      <c r="D865" t="s">
        <v>3</v>
      </c>
      <c r="E865" t="s">
        <v>4</v>
      </c>
      <c r="F865" t="s">
        <v>48</v>
      </c>
      <c r="G865" t="s">
        <v>124</v>
      </c>
      <c r="H865" t="s">
        <v>413</v>
      </c>
      <c r="I865">
        <v>8</v>
      </c>
      <c r="J865" s="1">
        <v>6252.97</v>
      </c>
      <c r="K865">
        <v>0.2</v>
      </c>
      <c r="L865" s="1">
        <v>42140.22</v>
      </c>
      <c r="M865" s="1">
        <v>7612.27</v>
      </c>
      <c r="N865" s="1">
        <v>48.73</v>
      </c>
      <c r="O865" t="s">
        <v>49</v>
      </c>
      <c r="P865">
        <v>3</v>
      </c>
      <c r="Q865" t="b">
        <v>0</v>
      </c>
      <c r="R865" t="s">
        <v>18</v>
      </c>
      <c r="S865">
        <v>3</v>
      </c>
      <c r="T865" t="e">
        <f>IF(#REF!&lt;=25, "Young Age", IF(#REF!&lt;=40, "Mid Age", "Old Age"))</f>
        <v>#REF!</v>
      </c>
      <c r="U865" t="str">
        <f t="shared" si="13"/>
        <v>Okay</v>
      </c>
    </row>
    <row r="866" spans="1:21" x14ac:dyDescent="0.35">
      <c r="A866" t="s">
        <v>1878</v>
      </c>
      <c r="B866" s="13">
        <v>44046</v>
      </c>
      <c r="C866" t="s">
        <v>1879</v>
      </c>
      <c r="D866" t="s">
        <v>3</v>
      </c>
      <c r="E866" t="s">
        <v>89</v>
      </c>
      <c r="F866" t="s">
        <v>299</v>
      </c>
      <c r="G866" t="s">
        <v>41</v>
      </c>
      <c r="H866" t="s">
        <v>129</v>
      </c>
      <c r="I866">
        <v>8</v>
      </c>
      <c r="J866" s="1">
        <v>989.77</v>
      </c>
      <c r="K866">
        <v>0.36</v>
      </c>
      <c r="L866" s="1">
        <v>5866.43</v>
      </c>
      <c r="M866" s="1">
        <v>2254.31</v>
      </c>
      <c r="N866" s="1">
        <v>76.760000000000005</v>
      </c>
      <c r="O866" t="s">
        <v>43</v>
      </c>
      <c r="P866">
        <v>5</v>
      </c>
      <c r="Q866" t="b">
        <v>0</v>
      </c>
      <c r="R866" t="s">
        <v>37</v>
      </c>
      <c r="S866">
        <v>1</v>
      </c>
      <c r="T866" t="e">
        <f>IF(#REF!&lt;=25, "Young Age", IF(#REF!&lt;=40, "Mid Age", "Old Age"))</f>
        <v>#REF!</v>
      </c>
      <c r="U866" t="str">
        <f t="shared" si="13"/>
        <v>Okay</v>
      </c>
    </row>
    <row r="867" spans="1:21" x14ac:dyDescent="0.35">
      <c r="A867" t="s">
        <v>1880</v>
      </c>
      <c r="B867" s="13">
        <v>43981</v>
      </c>
      <c r="C867" t="s">
        <v>1881</v>
      </c>
      <c r="D867" t="s">
        <v>13</v>
      </c>
      <c r="E867" t="s">
        <v>89</v>
      </c>
      <c r="F867" t="s">
        <v>299</v>
      </c>
      <c r="G867" t="s">
        <v>41</v>
      </c>
      <c r="H867" t="s">
        <v>477</v>
      </c>
      <c r="I867">
        <v>8</v>
      </c>
      <c r="J867" s="1">
        <v>466.9</v>
      </c>
      <c r="K867">
        <v>0.36</v>
      </c>
      <c r="L867" s="1">
        <v>2857.33</v>
      </c>
      <c r="M867" s="1">
        <v>1125</v>
      </c>
      <c r="N867" s="1">
        <v>79.08</v>
      </c>
      <c r="O867" t="s">
        <v>43</v>
      </c>
      <c r="P867">
        <v>2</v>
      </c>
      <c r="Q867" t="b">
        <v>0</v>
      </c>
      <c r="R867" t="s">
        <v>18</v>
      </c>
      <c r="S867">
        <v>10</v>
      </c>
      <c r="T867" t="e">
        <f>IF(#REF!&lt;=25, "Young Age", IF(#REF!&lt;=40, "Mid Age", "Old Age"))</f>
        <v>#REF!</v>
      </c>
      <c r="U867" t="str">
        <f t="shared" si="13"/>
        <v>Over Delayed</v>
      </c>
    </row>
    <row r="868" spans="1:21" x14ac:dyDescent="0.35">
      <c r="A868" t="s">
        <v>1882</v>
      </c>
      <c r="B868" s="13">
        <v>45186</v>
      </c>
      <c r="C868" t="s">
        <v>1883</v>
      </c>
      <c r="D868" t="s">
        <v>13</v>
      </c>
      <c r="E868" t="s">
        <v>53</v>
      </c>
      <c r="F868" t="s">
        <v>54</v>
      </c>
      <c r="G868" t="s">
        <v>124</v>
      </c>
      <c r="H868" t="s">
        <v>125</v>
      </c>
      <c r="I868">
        <v>4</v>
      </c>
      <c r="J868" s="1">
        <v>3391.86</v>
      </c>
      <c r="K868">
        <v>0.04</v>
      </c>
      <c r="L868" s="1">
        <v>15450.95</v>
      </c>
      <c r="M868" s="1">
        <v>3325.04</v>
      </c>
      <c r="N868" s="1">
        <v>68.459999999999994</v>
      </c>
      <c r="O868" t="s">
        <v>49</v>
      </c>
      <c r="P868">
        <v>3</v>
      </c>
      <c r="Q868" t="b">
        <v>0</v>
      </c>
      <c r="R868" t="s">
        <v>63</v>
      </c>
      <c r="S868">
        <v>2</v>
      </c>
      <c r="T868" t="e">
        <f>IF(#REF!&lt;=25, "Young Age", IF(#REF!&lt;=40, "Mid Age", "Old Age"))</f>
        <v>#REF!</v>
      </c>
      <c r="U868" t="str">
        <f t="shared" si="13"/>
        <v>Okay</v>
      </c>
    </row>
    <row r="869" spans="1:21" x14ac:dyDescent="0.35">
      <c r="A869" t="s">
        <v>1884</v>
      </c>
      <c r="B869" s="13">
        <v>44437</v>
      </c>
      <c r="C869" t="s">
        <v>1885</v>
      </c>
      <c r="D869" t="s">
        <v>47</v>
      </c>
      <c r="E869" t="s">
        <v>61</v>
      </c>
      <c r="F869" t="s">
        <v>104</v>
      </c>
      <c r="G869" t="s">
        <v>124</v>
      </c>
      <c r="H869" t="s">
        <v>195</v>
      </c>
      <c r="I869">
        <v>1</v>
      </c>
      <c r="J869" s="1">
        <v>3087.59</v>
      </c>
      <c r="K869">
        <v>7.0000000000000007E-2</v>
      </c>
      <c r="L869" s="1">
        <v>3563.24</v>
      </c>
      <c r="M869" s="1">
        <v>769.67</v>
      </c>
      <c r="N869" s="1">
        <v>85.46</v>
      </c>
      <c r="O869" t="s">
        <v>49</v>
      </c>
      <c r="P869">
        <v>2</v>
      </c>
      <c r="Q869" t="b">
        <v>0</v>
      </c>
      <c r="R869" t="s">
        <v>18</v>
      </c>
      <c r="S869">
        <v>4</v>
      </c>
      <c r="T869" t="e">
        <f>IF(#REF!&lt;=25, "Young Age", IF(#REF!&lt;=40, "Mid Age", "Old Age"))</f>
        <v>#REF!</v>
      </c>
      <c r="U869" t="str">
        <f t="shared" si="13"/>
        <v>Okay</v>
      </c>
    </row>
    <row r="870" spans="1:21" x14ac:dyDescent="0.35">
      <c r="A870" t="s">
        <v>1886</v>
      </c>
      <c r="B870" s="13">
        <v>45371</v>
      </c>
      <c r="C870" t="s">
        <v>1887</v>
      </c>
      <c r="D870" t="s">
        <v>13</v>
      </c>
      <c r="E870" t="s">
        <v>53</v>
      </c>
      <c r="F870" t="s">
        <v>79</v>
      </c>
      <c r="G870" t="s">
        <v>124</v>
      </c>
      <c r="H870" t="s">
        <v>156</v>
      </c>
      <c r="I870">
        <v>4</v>
      </c>
      <c r="J870" s="1">
        <v>14899.55</v>
      </c>
      <c r="K870">
        <v>0.09</v>
      </c>
      <c r="L870" s="1">
        <v>60345.97</v>
      </c>
      <c r="M870" s="1">
        <v>12084.3</v>
      </c>
      <c r="N870" s="1">
        <v>21.44</v>
      </c>
      <c r="O870" t="s">
        <v>43</v>
      </c>
      <c r="P870">
        <v>4</v>
      </c>
      <c r="Q870" t="b">
        <v>0</v>
      </c>
      <c r="R870" t="s">
        <v>18</v>
      </c>
      <c r="S870">
        <v>7</v>
      </c>
      <c r="T870" t="e">
        <f>IF(#REF!&lt;=25, "Young Age", IF(#REF!&lt;=40, "Mid Age", "Old Age"))</f>
        <v>#REF!</v>
      </c>
      <c r="U870" t="str">
        <f t="shared" si="13"/>
        <v>Delayed</v>
      </c>
    </row>
    <row r="871" spans="1:21" x14ac:dyDescent="0.35">
      <c r="A871" t="s">
        <v>1888</v>
      </c>
      <c r="B871" s="13">
        <v>45453</v>
      </c>
      <c r="C871" t="s">
        <v>1889</v>
      </c>
      <c r="D871" t="s">
        <v>13</v>
      </c>
      <c r="E871" t="s">
        <v>89</v>
      </c>
      <c r="F871" t="s">
        <v>299</v>
      </c>
      <c r="G871" t="s">
        <v>124</v>
      </c>
      <c r="H871" t="s">
        <v>156</v>
      </c>
      <c r="I871">
        <v>2</v>
      </c>
      <c r="J871" s="1">
        <v>3506.29</v>
      </c>
      <c r="K871">
        <v>0.28999999999999998</v>
      </c>
      <c r="L871" s="1">
        <v>9018.0300000000007</v>
      </c>
      <c r="M871" s="1">
        <v>1718.02</v>
      </c>
      <c r="N871" s="1">
        <v>58.97</v>
      </c>
      <c r="O871" t="s">
        <v>57</v>
      </c>
      <c r="P871">
        <v>5</v>
      </c>
      <c r="Q871" t="b">
        <v>0</v>
      </c>
      <c r="R871" t="s">
        <v>115</v>
      </c>
      <c r="S871">
        <v>4</v>
      </c>
      <c r="T871" t="e">
        <f>IF(#REF!&lt;=25, "Young Age", IF(#REF!&lt;=40, "Mid Age", "Old Age"))</f>
        <v>#REF!</v>
      </c>
      <c r="U871" t="str">
        <f t="shared" si="13"/>
        <v>Okay</v>
      </c>
    </row>
    <row r="872" spans="1:21" x14ac:dyDescent="0.35">
      <c r="A872" t="s">
        <v>1890</v>
      </c>
      <c r="B872" s="13">
        <v>44980</v>
      </c>
      <c r="C872" t="s">
        <v>1891</v>
      </c>
      <c r="D872" t="s">
        <v>3</v>
      </c>
      <c r="E872" t="s">
        <v>61</v>
      </c>
      <c r="F872" t="s">
        <v>222</v>
      </c>
      <c r="G872" t="s">
        <v>16</v>
      </c>
      <c r="H872" t="s">
        <v>557</v>
      </c>
      <c r="I872">
        <v>5</v>
      </c>
      <c r="J872" s="1">
        <v>259.07</v>
      </c>
      <c r="K872">
        <v>0.02</v>
      </c>
      <c r="L872" s="1">
        <v>1306.8599999999999</v>
      </c>
      <c r="M872" s="1">
        <v>672.76</v>
      </c>
      <c r="N872" s="1">
        <v>91.02</v>
      </c>
      <c r="O872" t="s">
        <v>57</v>
      </c>
      <c r="P872">
        <v>5</v>
      </c>
      <c r="Q872" t="b">
        <v>0</v>
      </c>
      <c r="R872" t="s">
        <v>18</v>
      </c>
      <c r="S872">
        <v>9</v>
      </c>
      <c r="T872" t="e">
        <f>IF(#REF!&lt;=25, "Young Age", IF(#REF!&lt;=40, "Mid Age", "Old Age"))</f>
        <v>#REF!</v>
      </c>
      <c r="U872" t="str">
        <f t="shared" si="13"/>
        <v>Over Delayed</v>
      </c>
    </row>
    <row r="873" spans="1:21" x14ac:dyDescent="0.35">
      <c r="A873" t="s">
        <v>1892</v>
      </c>
      <c r="B873" s="13">
        <v>44997</v>
      </c>
      <c r="C873" t="s">
        <v>1893</v>
      </c>
      <c r="D873" t="s">
        <v>47</v>
      </c>
      <c r="E873" t="s">
        <v>4</v>
      </c>
      <c r="F873" t="s">
        <v>48</v>
      </c>
      <c r="G873" t="s">
        <v>55</v>
      </c>
      <c r="H873" t="s">
        <v>56</v>
      </c>
      <c r="I873">
        <v>3</v>
      </c>
      <c r="J873" s="1">
        <v>1200.51</v>
      </c>
      <c r="K873">
        <v>0.4</v>
      </c>
      <c r="L873" s="1">
        <v>2711.94</v>
      </c>
      <c r="M873" s="1">
        <v>952.86</v>
      </c>
      <c r="N873" s="1">
        <v>10.029999999999999</v>
      </c>
      <c r="O873" t="s">
        <v>8</v>
      </c>
      <c r="P873">
        <v>3</v>
      </c>
      <c r="Q873" t="b">
        <v>0</v>
      </c>
      <c r="R873" t="s">
        <v>18</v>
      </c>
      <c r="S873">
        <v>5</v>
      </c>
      <c r="T873" t="e">
        <f>IF(#REF!&lt;=25, "Young Age", IF(#REF!&lt;=40, "Mid Age", "Old Age"))</f>
        <v>#REF!</v>
      </c>
      <c r="U873" t="str">
        <f t="shared" si="13"/>
        <v>Delayed</v>
      </c>
    </row>
    <row r="874" spans="1:21" x14ac:dyDescent="0.35">
      <c r="A874" t="s">
        <v>1894</v>
      </c>
      <c r="B874" s="13">
        <v>44195</v>
      </c>
      <c r="C874" t="s">
        <v>1895</v>
      </c>
      <c r="D874" t="s">
        <v>13</v>
      </c>
      <c r="E874" t="s">
        <v>14</v>
      </c>
      <c r="F874" t="s">
        <v>15</v>
      </c>
      <c r="G874" t="s">
        <v>55</v>
      </c>
      <c r="H874" t="s">
        <v>91</v>
      </c>
      <c r="I874">
        <v>4</v>
      </c>
      <c r="J874" s="1">
        <v>3596.85</v>
      </c>
      <c r="K874">
        <v>0.25</v>
      </c>
      <c r="L874" s="1">
        <v>7577.9</v>
      </c>
      <c r="M874" s="1">
        <v>2505.62</v>
      </c>
      <c r="N874" s="1">
        <v>61.39</v>
      </c>
      <c r="O874" t="s">
        <v>8</v>
      </c>
      <c r="P874">
        <v>1</v>
      </c>
      <c r="Q874" t="b">
        <v>1</v>
      </c>
      <c r="R874" t="s">
        <v>9</v>
      </c>
      <c r="S874">
        <v>7</v>
      </c>
      <c r="T874" t="e">
        <f>IF(#REF!&lt;=25, "Young Age", IF(#REF!&lt;=40, "Mid Age", "Old Age"))</f>
        <v>#REF!</v>
      </c>
      <c r="U874" t="str">
        <f t="shared" si="13"/>
        <v>Delayed</v>
      </c>
    </row>
    <row r="875" spans="1:21" x14ac:dyDescent="0.35">
      <c r="A875" t="s">
        <v>1896</v>
      </c>
      <c r="B875" s="13">
        <v>44533</v>
      </c>
      <c r="C875" t="s">
        <v>1897</v>
      </c>
      <c r="D875" t="s">
        <v>47</v>
      </c>
      <c r="E875" t="s">
        <v>4</v>
      </c>
      <c r="F875" t="s">
        <v>5</v>
      </c>
      <c r="G875" t="s">
        <v>55</v>
      </c>
      <c r="H875" t="s">
        <v>110</v>
      </c>
      <c r="I875">
        <v>7</v>
      </c>
      <c r="J875" s="1">
        <v>2400.11</v>
      </c>
      <c r="K875">
        <v>0.15</v>
      </c>
      <c r="L875" s="1">
        <v>9585.11</v>
      </c>
      <c r="M875" s="1">
        <v>3359.68</v>
      </c>
      <c r="N875" s="1">
        <v>55.43</v>
      </c>
      <c r="O875" t="s">
        <v>57</v>
      </c>
      <c r="P875">
        <v>2</v>
      </c>
      <c r="Q875" t="b">
        <v>0</v>
      </c>
      <c r="R875" t="s">
        <v>18</v>
      </c>
      <c r="S875">
        <v>10</v>
      </c>
      <c r="T875" t="e">
        <f>IF(#REF!&lt;=25, "Young Age", IF(#REF!&lt;=40, "Mid Age", "Old Age"))</f>
        <v>#REF!</v>
      </c>
      <c r="U875" t="str">
        <f t="shared" si="13"/>
        <v>Over Delayed</v>
      </c>
    </row>
    <row r="876" spans="1:21" x14ac:dyDescent="0.35">
      <c r="A876" t="s">
        <v>1898</v>
      </c>
      <c r="B876" s="13">
        <v>45630</v>
      </c>
      <c r="C876" t="s">
        <v>1899</v>
      </c>
      <c r="D876" t="s">
        <v>13</v>
      </c>
      <c r="E876" t="s">
        <v>4</v>
      </c>
      <c r="F876" t="s">
        <v>34</v>
      </c>
      <c r="G876" t="s">
        <v>6</v>
      </c>
      <c r="H876" t="s">
        <v>7</v>
      </c>
      <c r="I876">
        <v>4</v>
      </c>
      <c r="J876" s="1">
        <v>242.65</v>
      </c>
      <c r="K876">
        <v>0</v>
      </c>
      <c r="L876" s="1">
        <v>854.73</v>
      </c>
      <c r="M876" s="1">
        <v>91.72</v>
      </c>
      <c r="N876" s="1">
        <v>48.21</v>
      </c>
      <c r="O876" t="s">
        <v>36</v>
      </c>
      <c r="P876">
        <v>1</v>
      </c>
      <c r="Q876" t="b">
        <v>1</v>
      </c>
      <c r="R876" t="s">
        <v>9</v>
      </c>
      <c r="S876">
        <v>1</v>
      </c>
      <c r="T876" t="e">
        <f>IF(#REF!&lt;=25, "Young Age", IF(#REF!&lt;=40, "Mid Age", "Old Age"))</f>
        <v>#REF!</v>
      </c>
      <c r="U876" t="str">
        <f t="shared" si="13"/>
        <v>Okay</v>
      </c>
    </row>
    <row r="877" spans="1:21" x14ac:dyDescent="0.35">
      <c r="A877" t="s">
        <v>1900</v>
      </c>
      <c r="B877" s="13">
        <v>45142</v>
      </c>
      <c r="C877" t="s">
        <v>1901</v>
      </c>
      <c r="D877" t="s">
        <v>13</v>
      </c>
      <c r="E877" t="s">
        <v>14</v>
      </c>
      <c r="F877" t="s">
        <v>84</v>
      </c>
      <c r="G877" t="s">
        <v>55</v>
      </c>
      <c r="H877" t="s">
        <v>91</v>
      </c>
      <c r="I877">
        <v>3</v>
      </c>
      <c r="J877" s="1">
        <v>2494.29</v>
      </c>
      <c r="K877">
        <v>0.1</v>
      </c>
      <c r="L877" s="1">
        <v>9558.85</v>
      </c>
      <c r="M877" s="1">
        <v>3760.45</v>
      </c>
      <c r="N877" s="1">
        <v>54.2</v>
      </c>
      <c r="O877" t="s">
        <v>43</v>
      </c>
      <c r="P877">
        <v>3</v>
      </c>
      <c r="Q877" t="b">
        <v>0</v>
      </c>
      <c r="R877" t="s">
        <v>18</v>
      </c>
      <c r="S877">
        <v>8</v>
      </c>
      <c r="T877" t="e">
        <f>IF(#REF!&lt;=25, "Young Age", IF(#REF!&lt;=40, "Mid Age", "Old Age"))</f>
        <v>#REF!</v>
      </c>
      <c r="U877" t="str">
        <f t="shared" si="13"/>
        <v>Over Delayed</v>
      </c>
    </row>
    <row r="878" spans="1:21" x14ac:dyDescent="0.35">
      <c r="A878" t="s">
        <v>1902</v>
      </c>
      <c r="B878" s="13">
        <v>43866</v>
      </c>
      <c r="C878" t="s">
        <v>1903</v>
      </c>
      <c r="D878" t="s">
        <v>47</v>
      </c>
      <c r="E878" t="s">
        <v>14</v>
      </c>
      <c r="F878" t="s">
        <v>15</v>
      </c>
      <c r="G878" t="s">
        <v>23</v>
      </c>
      <c r="H878" t="s">
        <v>95</v>
      </c>
      <c r="I878">
        <v>2</v>
      </c>
      <c r="J878" s="1">
        <v>23012.97</v>
      </c>
      <c r="K878">
        <v>0.03</v>
      </c>
      <c r="L878" s="1">
        <v>33590.83</v>
      </c>
      <c r="M878" s="1">
        <v>8197.84</v>
      </c>
      <c r="N878" s="1">
        <v>60.46</v>
      </c>
      <c r="O878" t="s">
        <v>8</v>
      </c>
      <c r="P878">
        <v>5</v>
      </c>
      <c r="Q878" t="b">
        <v>0</v>
      </c>
      <c r="R878" t="s">
        <v>18</v>
      </c>
      <c r="S878">
        <v>9</v>
      </c>
      <c r="T878" t="e">
        <f>IF(#REF!&lt;=25, "Young Age", IF(#REF!&lt;=40, "Mid Age", "Old Age"))</f>
        <v>#REF!</v>
      </c>
      <c r="U878" t="str">
        <f t="shared" si="13"/>
        <v>Over Delayed</v>
      </c>
    </row>
    <row r="879" spans="1:21" x14ac:dyDescent="0.35">
      <c r="A879" t="s">
        <v>1904</v>
      </c>
      <c r="B879" s="13">
        <v>45408</v>
      </c>
      <c r="C879" t="s">
        <v>1905</v>
      </c>
      <c r="D879" t="s">
        <v>47</v>
      </c>
      <c r="E879" t="s">
        <v>61</v>
      </c>
      <c r="F879" t="s">
        <v>222</v>
      </c>
      <c r="G879" t="s">
        <v>105</v>
      </c>
      <c r="H879" t="s">
        <v>174</v>
      </c>
      <c r="I879">
        <v>2</v>
      </c>
      <c r="J879" s="1">
        <v>36881.480000000003</v>
      </c>
      <c r="K879">
        <v>0.01</v>
      </c>
      <c r="L879" s="1">
        <v>101185.85</v>
      </c>
      <c r="M879" s="1">
        <v>16236.72</v>
      </c>
      <c r="N879" s="1">
        <v>67.63</v>
      </c>
      <c r="O879" t="s">
        <v>30</v>
      </c>
      <c r="P879">
        <v>4</v>
      </c>
      <c r="Q879" t="b">
        <v>0</v>
      </c>
      <c r="R879" t="s">
        <v>18</v>
      </c>
      <c r="S879">
        <v>8</v>
      </c>
      <c r="T879" t="e">
        <f>IF(#REF!&lt;=25, "Young Age", IF(#REF!&lt;=40, "Mid Age", "Old Age"))</f>
        <v>#REF!</v>
      </c>
      <c r="U879" t="str">
        <f t="shared" si="13"/>
        <v>Over Delayed</v>
      </c>
    </row>
    <row r="880" spans="1:21" x14ac:dyDescent="0.35">
      <c r="A880" t="s">
        <v>1906</v>
      </c>
      <c r="B880" s="13">
        <v>45482</v>
      </c>
      <c r="C880" t="s">
        <v>1907</v>
      </c>
      <c r="D880" t="s">
        <v>13</v>
      </c>
      <c r="E880" t="s">
        <v>89</v>
      </c>
      <c r="F880" t="s">
        <v>90</v>
      </c>
      <c r="G880" t="s">
        <v>124</v>
      </c>
      <c r="H880" t="s">
        <v>413</v>
      </c>
      <c r="I880">
        <v>4</v>
      </c>
      <c r="J880" s="1">
        <v>4528.8999999999996</v>
      </c>
      <c r="K880">
        <v>0.09</v>
      </c>
      <c r="L880" s="1">
        <v>28783.41</v>
      </c>
      <c r="M880" s="1">
        <v>6807.19</v>
      </c>
      <c r="N880" s="1">
        <v>79.89</v>
      </c>
      <c r="O880" t="s">
        <v>49</v>
      </c>
      <c r="P880">
        <v>1</v>
      </c>
      <c r="Q880" t="b">
        <v>0</v>
      </c>
      <c r="R880" t="s">
        <v>18</v>
      </c>
      <c r="S880" t="s">
        <v>2149</v>
      </c>
      <c r="T880" t="e">
        <f>IF(#REF!&lt;=25, "Young Age", IF(#REF!&lt;=40, "Mid Age", "Old Age"))</f>
        <v>#REF!</v>
      </c>
      <c r="U880" t="str">
        <f t="shared" si="13"/>
        <v>Over Delayed</v>
      </c>
    </row>
    <row r="881" spans="1:21" x14ac:dyDescent="0.35">
      <c r="A881" t="s">
        <v>1908</v>
      </c>
      <c r="B881" s="13">
        <v>43922</v>
      </c>
      <c r="C881" t="s">
        <v>1909</v>
      </c>
      <c r="D881" t="s">
        <v>13</v>
      </c>
      <c r="E881" t="s">
        <v>53</v>
      </c>
      <c r="F881" t="s">
        <v>170</v>
      </c>
      <c r="G881" t="s">
        <v>16</v>
      </c>
      <c r="H881" t="s">
        <v>557</v>
      </c>
      <c r="I881">
        <v>4</v>
      </c>
      <c r="J881" s="1">
        <v>2105.61</v>
      </c>
      <c r="K881">
        <v>0.37</v>
      </c>
      <c r="L881" s="1">
        <v>5688.97</v>
      </c>
      <c r="M881" s="1">
        <v>2865.09</v>
      </c>
      <c r="N881" s="1">
        <v>70.930000000000007</v>
      </c>
      <c r="O881" t="s">
        <v>57</v>
      </c>
      <c r="P881">
        <v>4</v>
      </c>
      <c r="Q881" t="b">
        <v>0</v>
      </c>
      <c r="R881" t="s">
        <v>18</v>
      </c>
      <c r="S881">
        <v>6</v>
      </c>
      <c r="T881" t="e">
        <f>IF(#REF!&lt;=25, "Young Age", IF(#REF!&lt;=40, "Mid Age", "Old Age"))</f>
        <v>#REF!</v>
      </c>
      <c r="U881" t="str">
        <f t="shared" si="13"/>
        <v>Delayed</v>
      </c>
    </row>
    <row r="882" spans="1:21" x14ac:dyDescent="0.35">
      <c r="A882" t="s">
        <v>1910</v>
      </c>
      <c r="B882" s="13">
        <v>45527</v>
      </c>
      <c r="C882" t="s">
        <v>1911</v>
      </c>
      <c r="D882" t="s">
        <v>13</v>
      </c>
      <c r="E882" t="s">
        <v>89</v>
      </c>
      <c r="F882" t="s">
        <v>119</v>
      </c>
      <c r="G882" t="s">
        <v>41</v>
      </c>
      <c r="H882" t="s">
        <v>244</v>
      </c>
      <c r="I882">
        <v>1</v>
      </c>
      <c r="J882" s="1">
        <v>1473.01</v>
      </c>
      <c r="K882">
        <v>0.35</v>
      </c>
      <c r="L882" s="1">
        <v>1432.65</v>
      </c>
      <c r="M882" s="1">
        <v>578.62</v>
      </c>
      <c r="N882" s="1">
        <v>72.78</v>
      </c>
      <c r="O882" t="s">
        <v>57</v>
      </c>
      <c r="P882">
        <v>3</v>
      </c>
      <c r="Q882" t="b">
        <v>0</v>
      </c>
      <c r="R882" t="s">
        <v>18</v>
      </c>
      <c r="S882">
        <v>1</v>
      </c>
      <c r="T882" t="e">
        <f>IF(#REF!&lt;=25, "Young Age", IF(#REF!&lt;=40, "Mid Age", "Old Age"))</f>
        <v>#REF!</v>
      </c>
      <c r="U882" t="str">
        <f t="shared" si="13"/>
        <v>Okay</v>
      </c>
    </row>
    <row r="883" spans="1:21" x14ac:dyDescent="0.35">
      <c r="A883" t="s">
        <v>1912</v>
      </c>
      <c r="B883" s="13">
        <v>44142</v>
      </c>
      <c r="C883" t="s">
        <v>1913</v>
      </c>
      <c r="D883" t="s">
        <v>47</v>
      </c>
      <c r="E883" t="s">
        <v>4</v>
      </c>
      <c r="F883" t="s">
        <v>48</v>
      </c>
      <c r="G883" t="s">
        <v>41</v>
      </c>
      <c r="H883" t="s">
        <v>85</v>
      </c>
      <c r="I883">
        <v>2</v>
      </c>
      <c r="J883" s="1">
        <v>1020.32</v>
      </c>
      <c r="K883">
        <v>0.39</v>
      </c>
      <c r="L883" s="1">
        <v>969.44</v>
      </c>
      <c r="M883" s="1">
        <v>436.92</v>
      </c>
      <c r="N883" s="1">
        <v>35.61</v>
      </c>
      <c r="O883" t="s">
        <v>8</v>
      </c>
      <c r="P883">
        <v>4</v>
      </c>
      <c r="Q883" t="b">
        <v>0</v>
      </c>
      <c r="R883" t="s">
        <v>18</v>
      </c>
      <c r="S883">
        <v>5</v>
      </c>
      <c r="T883" t="e">
        <f>IF(#REF!&lt;=25, "Young Age", IF(#REF!&lt;=40, "Mid Age", "Old Age"))</f>
        <v>#REF!</v>
      </c>
      <c r="U883" t="str">
        <f t="shared" si="13"/>
        <v>Delayed</v>
      </c>
    </row>
    <row r="884" spans="1:21" x14ac:dyDescent="0.35">
      <c r="A884" t="s">
        <v>1914</v>
      </c>
      <c r="B884" s="13">
        <v>43841</v>
      </c>
      <c r="C884" t="s">
        <v>1915</v>
      </c>
      <c r="D884" t="s">
        <v>3</v>
      </c>
      <c r="E884" t="s">
        <v>14</v>
      </c>
      <c r="F884" t="s">
        <v>28</v>
      </c>
      <c r="G884" t="s">
        <v>55</v>
      </c>
      <c r="H884" t="s">
        <v>185</v>
      </c>
      <c r="I884">
        <v>8</v>
      </c>
      <c r="J884" s="1">
        <v>2738.08</v>
      </c>
      <c r="K884">
        <v>0.04</v>
      </c>
      <c r="L884" s="1">
        <v>15129.46</v>
      </c>
      <c r="M884" s="1">
        <v>7413.18</v>
      </c>
      <c r="N884" s="1">
        <v>61.16</v>
      </c>
      <c r="O884" t="s">
        <v>8</v>
      </c>
      <c r="P884">
        <v>1</v>
      </c>
      <c r="Q884" t="b">
        <v>0</v>
      </c>
      <c r="R884" t="s">
        <v>18</v>
      </c>
      <c r="S884">
        <v>9</v>
      </c>
      <c r="T884" t="e">
        <f>IF(#REF!&lt;=25, "Young Age", IF(#REF!&lt;=40, "Mid Age", "Old Age"))</f>
        <v>#REF!</v>
      </c>
      <c r="U884" t="str">
        <f t="shared" si="13"/>
        <v>Over Delayed</v>
      </c>
    </row>
    <row r="885" spans="1:21" x14ac:dyDescent="0.35">
      <c r="A885" t="s">
        <v>1916</v>
      </c>
      <c r="B885" s="13">
        <v>44574</v>
      </c>
      <c r="C885" t="s">
        <v>1917</v>
      </c>
      <c r="D885" t="s">
        <v>3</v>
      </c>
      <c r="E885" t="s">
        <v>53</v>
      </c>
      <c r="F885" t="s">
        <v>79</v>
      </c>
      <c r="G885" t="s">
        <v>105</v>
      </c>
      <c r="H885" t="s">
        <v>174</v>
      </c>
      <c r="I885">
        <v>5</v>
      </c>
      <c r="J885" s="1">
        <v>49380.11</v>
      </c>
      <c r="K885">
        <v>0.26</v>
      </c>
      <c r="L885" s="1">
        <v>163008.07999999999</v>
      </c>
      <c r="M885" s="1">
        <v>20346.12</v>
      </c>
      <c r="N885" s="1">
        <v>62.16</v>
      </c>
      <c r="O885" t="s">
        <v>36</v>
      </c>
      <c r="P885">
        <v>2</v>
      </c>
      <c r="Q885" t="b">
        <v>0</v>
      </c>
      <c r="R885" t="s">
        <v>18</v>
      </c>
      <c r="S885">
        <v>8</v>
      </c>
      <c r="T885" t="e">
        <f>IF(#REF!&lt;=25, "Young Age", IF(#REF!&lt;=40, "Mid Age", "Old Age"))</f>
        <v>#REF!</v>
      </c>
      <c r="U885" t="str">
        <f t="shared" si="13"/>
        <v>Over Delayed</v>
      </c>
    </row>
    <row r="886" spans="1:21" x14ac:dyDescent="0.35">
      <c r="A886" t="s">
        <v>1918</v>
      </c>
      <c r="B886" s="13">
        <v>43947</v>
      </c>
      <c r="C886" t="s">
        <v>1919</v>
      </c>
      <c r="D886" t="s">
        <v>3</v>
      </c>
      <c r="E886" t="s">
        <v>61</v>
      </c>
      <c r="F886" t="s">
        <v>104</v>
      </c>
      <c r="G886" t="s">
        <v>124</v>
      </c>
      <c r="H886" t="s">
        <v>156</v>
      </c>
      <c r="I886">
        <v>9</v>
      </c>
      <c r="J886" s="1">
        <v>12444.32</v>
      </c>
      <c r="K886">
        <v>0.12</v>
      </c>
      <c r="L886" s="1">
        <v>106749.94</v>
      </c>
      <c r="M886" s="1">
        <v>24509.37</v>
      </c>
      <c r="N886" s="1">
        <v>90.94</v>
      </c>
      <c r="O886" t="s">
        <v>57</v>
      </c>
      <c r="P886">
        <v>4</v>
      </c>
      <c r="Q886" t="b">
        <v>0</v>
      </c>
      <c r="R886" t="s">
        <v>63</v>
      </c>
      <c r="S886">
        <v>9</v>
      </c>
      <c r="T886" t="e">
        <f>IF(#REF!&lt;=25, "Young Age", IF(#REF!&lt;=40, "Mid Age", "Old Age"))</f>
        <v>#REF!</v>
      </c>
      <c r="U886" t="str">
        <f t="shared" si="13"/>
        <v>Over Delayed</v>
      </c>
    </row>
    <row r="887" spans="1:21" x14ac:dyDescent="0.35">
      <c r="A887" t="s">
        <v>1920</v>
      </c>
      <c r="B887" s="13">
        <v>45155</v>
      </c>
      <c r="C887" t="s">
        <v>1921</v>
      </c>
      <c r="D887" t="s">
        <v>47</v>
      </c>
      <c r="E887" t="s">
        <v>4</v>
      </c>
      <c r="F887" t="s">
        <v>48</v>
      </c>
      <c r="G887" t="s">
        <v>16</v>
      </c>
      <c r="H887" t="s">
        <v>557</v>
      </c>
      <c r="I887">
        <v>7</v>
      </c>
      <c r="J887" s="1">
        <v>100.31</v>
      </c>
      <c r="K887">
        <v>0.36</v>
      </c>
      <c r="L887" s="1">
        <v>600.84</v>
      </c>
      <c r="M887" s="1">
        <v>277.58</v>
      </c>
      <c r="N887" s="1">
        <v>67.27</v>
      </c>
      <c r="O887" t="s">
        <v>8</v>
      </c>
      <c r="P887">
        <v>1</v>
      </c>
      <c r="Q887" t="b">
        <v>0</v>
      </c>
      <c r="R887" t="s">
        <v>115</v>
      </c>
      <c r="S887">
        <v>9</v>
      </c>
      <c r="T887" t="e">
        <f>IF(#REF!&lt;=25, "Young Age", IF(#REF!&lt;=40, "Mid Age", "Old Age"))</f>
        <v>#REF!</v>
      </c>
      <c r="U887" t="str">
        <f t="shared" si="13"/>
        <v>Over Delayed</v>
      </c>
    </row>
    <row r="888" spans="1:21" x14ac:dyDescent="0.35">
      <c r="A888" t="s">
        <v>1922</v>
      </c>
      <c r="B888" s="13">
        <v>45502</v>
      </c>
      <c r="C888" t="s">
        <v>1923</v>
      </c>
      <c r="D888" t="s">
        <v>13</v>
      </c>
      <c r="E888" t="s">
        <v>53</v>
      </c>
      <c r="F888" t="s">
        <v>114</v>
      </c>
      <c r="G888" t="s">
        <v>124</v>
      </c>
      <c r="H888" t="s">
        <v>413</v>
      </c>
      <c r="I888">
        <v>7</v>
      </c>
      <c r="J888" s="1">
        <v>9729.83</v>
      </c>
      <c r="K888">
        <v>0</v>
      </c>
      <c r="L888" s="1">
        <v>90858.69</v>
      </c>
      <c r="M888" s="1">
        <v>22104.58</v>
      </c>
      <c r="N888" s="1">
        <v>66.099999999999994</v>
      </c>
      <c r="O888" t="s">
        <v>8</v>
      </c>
      <c r="P888">
        <v>5</v>
      </c>
      <c r="Q888" t="b">
        <v>1</v>
      </c>
      <c r="R888" t="s">
        <v>9</v>
      </c>
      <c r="S888">
        <v>5</v>
      </c>
      <c r="T888" t="e">
        <f>IF(#REF!&lt;=25, "Young Age", IF(#REF!&lt;=40, "Mid Age", "Old Age"))</f>
        <v>#REF!</v>
      </c>
      <c r="U888" t="str">
        <f t="shared" si="13"/>
        <v>Delayed</v>
      </c>
    </row>
    <row r="889" spans="1:21" x14ac:dyDescent="0.35">
      <c r="A889" t="s">
        <v>1924</v>
      </c>
      <c r="B889" s="13">
        <v>45628</v>
      </c>
      <c r="C889" t="s">
        <v>1925</v>
      </c>
      <c r="D889" t="s">
        <v>47</v>
      </c>
      <c r="E889" t="s">
        <v>61</v>
      </c>
      <c r="F889" t="s">
        <v>62</v>
      </c>
      <c r="G889" t="s">
        <v>23</v>
      </c>
      <c r="H889" t="s">
        <v>71</v>
      </c>
      <c r="I889">
        <v>5</v>
      </c>
      <c r="J889" s="1">
        <v>14663.57</v>
      </c>
      <c r="K889">
        <v>0.39</v>
      </c>
      <c r="L889" s="1">
        <v>43871.43</v>
      </c>
      <c r="M889" s="1">
        <v>8682.18</v>
      </c>
      <c r="N889" s="1">
        <v>101.24</v>
      </c>
      <c r="O889" t="s">
        <v>49</v>
      </c>
      <c r="P889">
        <v>4</v>
      </c>
      <c r="Q889" t="b">
        <v>0</v>
      </c>
      <c r="R889" t="s">
        <v>18</v>
      </c>
      <c r="S889">
        <v>3</v>
      </c>
      <c r="T889" t="e">
        <f>IF(#REF!&lt;=25, "Young Age", IF(#REF!&lt;=40, "Mid Age", "Old Age"))</f>
        <v>#REF!</v>
      </c>
      <c r="U889" t="str">
        <f t="shared" si="13"/>
        <v>Okay</v>
      </c>
    </row>
    <row r="890" spans="1:21" x14ac:dyDescent="0.35">
      <c r="A890" t="s">
        <v>1926</v>
      </c>
      <c r="B890" s="13">
        <v>44917</v>
      </c>
      <c r="C890" t="s">
        <v>1927</v>
      </c>
      <c r="D890" t="s">
        <v>13</v>
      </c>
      <c r="E890" t="s">
        <v>4</v>
      </c>
      <c r="F890" t="s">
        <v>148</v>
      </c>
      <c r="G890" t="s">
        <v>16</v>
      </c>
      <c r="H890" t="s">
        <v>80</v>
      </c>
      <c r="J890" s="1">
        <v>820.51</v>
      </c>
      <c r="K890">
        <v>0</v>
      </c>
      <c r="L890" s="1">
        <v>632.16999999999996</v>
      </c>
      <c r="M890" s="1">
        <v>211.59</v>
      </c>
      <c r="N890" s="1">
        <v>67.849999999999994</v>
      </c>
      <c r="O890" t="s">
        <v>57</v>
      </c>
      <c r="P890">
        <v>3</v>
      </c>
      <c r="Q890" t="b">
        <v>0</v>
      </c>
      <c r="R890" t="s">
        <v>18</v>
      </c>
      <c r="S890">
        <v>7</v>
      </c>
      <c r="T890" t="e">
        <f>IF(#REF!&lt;=25, "Young Age", IF(#REF!&lt;=40, "Mid Age", "Old Age"))</f>
        <v>#REF!</v>
      </c>
      <c r="U890" t="str">
        <f t="shared" si="13"/>
        <v>Delayed</v>
      </c>
    </row>
    <row r="891" spans="1:21" x14ac:dyDescent="0.35">
      <c r="A891" t="s">
        <v>1928</v>
      </c>
      <c r="B891" s="13">
        <v>44943</v>
      </c>
      <c r="C891" t="s">
        <v>1929</v>
      </c>
      <c r="D891" t="s">
        <v>47</v>
      </c>
      <c r="E891" t="s">
        <v>53</v>
      </c>
      <c r="F891" t="s">
        <v>114</v>
      </c>
      <c r="G891" t="s">
        <v>6</v>
      </c>
      <c r="H891" t="s">
        <v>374</v>
      </c>
      <c r="I891">
        <v>1</v>
      </c>
      <c r="J891" s="1">
        <v>235.69</v>
      </c>
      <c r="K891">
        <v>0.27</v>
      </c>
      <c r="L891" s="1">
        <v>145.65</v>
      </c>
      <c r="M891" s="1">
        <v>13.54</v>
      </c>
      <c r="N891" s="1">
        <v>59.77</v>
      </c>
      <c r="O891" t="s">
        <v>30</v>
      </c>
      <c r="P891">
        <v>5</v>
      </c>
      <c r="Q891" t="b">
        <v>0</v>
      </c>
      <c r="R891" t="s">
        <v>18</v>
      </c>
      <c r="S891">
        <v>3</v>
      </c>
      <c r="T891" t="e">
        <f>IF(#REF!&lt;=25, "Young Age", IF(#REF!&lt;=40, "Mid Age", "Old Age"))</f>
        <v>#REF!</v>
      </c>
      <c r="U891" t="str">
        <f t="shared" si="13"/>
        <v>Okay</v>
      </c>
    </row>
    <row r="892" spans="1:21" x14ac:dyDescent="0.35">
      <c r="A892" t="s">
        <v>1930</v>
      </c>
      <c r="B892" s="13">
        <v>45113</v>
      </c>
      <c r="C892" t="s">
        <v>1931</v>
      </c>
      <c r="D892" t="s">
        <v>13</v>
      </c>
      <c r="E892" t="s">
        <v>53</v>
      </c>
      <c r="F892" t="s">
        <v>79</v>
      </c>
      <c r="G892" t="s">
        <v>6</v>
      </c>
      <c r="H892" t="s">
        <v>374</v>
      </c>
      <c r="I892">
        <v>9</v>
      </c>
      <c r="J892" s="1">
        <v>324.23</v>
      </c>
      <c r="K892">
        <v>0.17</v>
      </c>
      <c r="L892" s="1">
        <v>4033.84</v>
      </c>
      <c r="M892" s="1">
        <v>456.69</v>
      </c>
      <c r="N892" s="1">
        <v>63.2</v>
      </c>
      <c r="O892" t="s">
        <v>30</v>
      </c>
      <c r="P892" t="s">
        <v>2149</v>
      </c>
      <c r="Q892" t="b">
        <v>0</v>
      </c>
      <c r="R892" t="s">
        <v>18</v>
      </c>
      <c r="S892" t="s">
        <v>2149</v>
      </c>
      <c r="T892" t="e">
        <f>IF(#REF!&lt;=25, "Young Age", IF(#REF!&lt;=40, "Mid Age", "Old Age"))</f>
        <v>#REF!</v>
      </c>
      <c r="U892" t="str">
        <f t="shared" si="13"/>
        <v>Over Delayed</v>
      </c>
    </row>
    <row r="893" spans="1:21" x14ac:dyDescent="0.35">
      <c r="A893" t="s">
        <v>1932</v>
      </c>
      <c r="B893" s="13">
        <v>43838</v>
      </c>
      <c r="C893" t="s">
        <v>1933</v>
      </c>
      <c r="D893" t="s">
        <v>3</v>
      </c>
      <c r="E893" t="s">
        <v>53</v>
      </c>
      <c r="F893" t="s">
        <v>54</v>
      </c>
      <c r="G893" t="s">
        <v>124</v>
      </c>
      <c r="H893" t="s">
        <v>254</v>
      </c>
      <c r="I893">
        <v>10</v>
      </c>
      <c r="J893" s="1">
        <v>510.46</v>
      </c>
      <c r="K893">
        <v>0.33</v>
      </c>
      <c r="L893" s="1">
        <v>3117.15</v>
      </c>
      <c r="M893" s="1">
        <v>595.15</v>
      </c>
      <c r="N893" s="1">
        <v>69.010000000000005</v>
      </c>
      <c r="O893" t="s">
        <v>30</v>
      </c>
      <c r="P893">
        <v>4</v>
      </c>
      <c r="Q893" t="b">
        <v>0</v>
      </c>
      <c r="R893" t="s">
        <v>18</v>
      </c>
      <c r="S893">
        <v>3</v>
      </c>
      <c r="T893" t="e">
        <f>IF(#REF!&lt;=25, "Young Age", IF(#REF!&lt;=40, "Mid Age", "Old Age"))</f>
        <v>#REF!</v>
      </c>
      <c r="U893" t="str">
        <f t="shared" si="13"/>
        <v>Okay</v>
      </c>
    </row>
    <row r="894" spans="1:21" x14ac:dyDescent="0.35">
      <c r="A894" t="s">
        <v>1934</v>
      </c>
      <c r="B894" s="13">
        <v>44808</v>
      </c>
      <c r="C894" t="s">
        <v>1935</v>
      </c>
      <c r="D894" t="s">
        <v>47</v>
      </c>
      <c r="E894" t="s">
        <v>89</v>
      </c>
      <c r="F894" t="s">
        <v>119</v>
      </c>
      <c r="G894" t="s">
        <v>23</v>
      </c>
      <c r="H894" t="s">
        <v>71</v>
      </c>
      <c r="I894">
        <v>8</v>
      </c>
      <c r="J894" s="1">
        <v>4977.01</v>
      </c>
      <c r="K894">
        <v>0.28000000000000003</v>
      </c>
      <c r="L894" s="1">
        <v>33795.379999999997</v>
      </c>
      <c r="M894" s="1">
        <v>9634.2000000000007</v>
      </c>
      <c r="N894" s="1">
        <v>84.09</v>
      </c>
      <c r="O894" t="s">
        <v>57</v>
      </c>
      <c r="P894">
        <v>4</v>
      </c>
      <c r="Q894" t="b">
        <v>0</v>
      </c>
      <c r="R894" t="s">
        <v>18</v>
      </c>
      <c r="S894">
        <v>8</v>
      </c>
      <c r="T894" t="e">
        <f>IF(#REF!&lt;=25, "Young Age", IF(#REF!&lt;=40, "Mid Age", "Old Age"))</f>
        <v>#REF!</v>
      </c>
      <c r="U894" t="str">
        <f t="shared" si="13"/>
        <v>Over Delayed</v>
      </c>
    </row>
    <row r="895" spans="1:21" x14ac:dyDescent="0.35">
      <c r="A895" t="s">
        <v>1936</v>
      </c>
      <c r="B895" s="13">
        <v>45632</v>
      </c>
      <c r="C895" t="s">
        <v>1937</v>
      </c>
      <c r="D895" t="s">
        <v>3</v>
      </c>
      <c r="E895" t="s">
        <v>14</v>
      </c>
      <c r="F895" t="s">
        <v>22</v>
      </c>
      <c r="G895" t="s">
        <v>16</v>
      </c>
      <c r="H895" t="s">
        <v>80</v>
      </c>
      <c r="I895">
        <v>8</v>
      </c>
      <c r="J895" s="1">
        <v>1064.92</v>
      </c>
      <c r="K895">
        <v>0.37</v>
      </c>
      <c r="L895" s="1">
        <v>5754.84</v>
      </c>
      <c r="M895" s="1">
        <v>2941.97</v>
      </c>
      <c r="N895" s="1">
        <v>55.05</v>
      </c>
      <c r="O895" t="s">
        <v>43</v>
      </c>
      <c r="P895">
        <v>5</v>
      </c>
      <c r="Q895" t="b">
        <v>0</v>
      </c>
      <c r="R895" t="s">
        <v>18</v>
      </c>
      <c r="S895">
        <v>5</v>
      </c>
      <c r="T895" t="e">
        <f>IF(#REF!&lt;=25, "Young Age", IF(#REF!&lt;=40, "Mid Age", "Old Age"))</f>
        <v>#REF!</v>
      </c>
      <c r="U895" t="str">
        <f t="shared" si="13"/>
        <v>Delayed</v>
      </c>
    </row>
    <row r="896" spans="1:21" x14ac:dyDescent="0.35">
      <c r="A896" t="s">
        <v>1938</v>
      </c>
      <c r="B896" s="13">
        <v>44133</v>
      </c>
      <c r="C896" t="s">
        <v>1939</v>
      </c>
      <c r="D896" t="s">
        <v>3</v>
      </c>
      <c r="E896" t="s">
        <v>14</v>
      </c>
      <c r="F896" t="s">
        <v>22</v>
      </c>
      <c r="G896" t="s">
        <v>105</v>
      </c>
      <c r="H896" t="s">
        <v>106</v>
      </c>
      <c r="I896">
        <v>3</v>
      </c>
      <c r="J896" s="1">
        <v>14080.67</v>
      </c>
      <c r="K896">
        <v>0.36</v>
      </c>
      <c r="L896" s="1">
        <v>17734.88</v>
      </c>
      <c r="M896" s="1">
        <v>1519.64</v>
      </c>
      <c r="N896" s="1">
        <v>63.63</v>
      </c>
      <c r="O896" t="s">
        <v>49</v>
      </c>
      <c r="P896">
        <v>2</v>
      </c>
      <c r="Q896" t="b">
        <v>1</v>
      </c>
      <c r="R896" t="s">
        <v>9</v>
      </c>
      <c r="S896">
        <v>7</v>
      </c>
      <c r="T896" t="e">
        <f>IF(#REF!&lt;=25, "Young Age", IF(#REF!&lt;=40, "Mid Age", "Old Age"))</f>
        <v>#REF!</v>
      </c>
      <c r="U896" t="str">
        <f t="shared" si="13"/>
        <v>Delayed</v>
      </c>
    </row>
    <row r="897" spans="1:21" x14ac:dyDescent="0.35">
      <c r="A897" t="s">
        <v>1940</v>
      </c>
      <c r="B897" s="13">
        <v>45104</v>
      </c>
      <c r="C897" t="s">
        <v>1941</v>
      </c>
      <c r="D897" t="s">
        <v>47</v>
      </c>
      <c r="E897" t="s">
        <v>53</v>
      </c>
      <c r="F897" t="s">
        <v>170</v>
      </c>
      <c r="G897" t="s">
        <v>124</v>
      </c>
      <c r="H897" t="s">
        <v>139</v>
      </c>
      <c r="I897">
        <v>9</v>
      </c>
      <c r="J897" s="1">
        <v>13111.09</v>
      </c>
      <c r="K897">
        <v>0.28999999999999998</v>
      </c>
      <c r="L897" s="1">
        <v>128078.44</v>
      </c>
      <c r="M897" s="1">
        <v>31164.9</v>
      </c>
      <c r="N897" s="1">
        <v>62.85</v>
      </c>
      <c r="O897" t="s">
        <v>36</v>
      </c>
      <c r="P897">
        <v>3</v>
      </c>
      <c r="Q897" t="b">
        <v>0</v>
      </c>
      <c r="R897" t="s">
        <v>18</v>
      </c>
      <c r="S897">
        <v>9</v>
      </c>
      <c r="T897" t="e">
        <f>IF(#REF!&lt;=25, "Young Age", IF(#REF!&lt;=40, "Mid Age", "Old Age"))</f>
        <v>#REF!</v>
      </c>
      <c r="U897" t="str">
        <f t="shared" si="13"/>
        <v>Over Delayed</v>
      </c>
    </row>
    <row r="898" spans="1:21" x14ac:dyDescent="0.35">
      <c r="A898" t="s">
        <v>1942</v>
      </c>
      <c r="B898" s="13">
        <v>45326</v>
      </c>
      <c r="C898" t="s">
        <v>1943</v>
      </c>
      <c r="D898" t="s">
        <v>3</v>
      </c>
      <c r="E898" t="s">
        <v>89</v>
      </c>
      <c r="F898" t="s">
        <v>299</v>
      </c>
      <c r="G898" t="s">
        <v>16</v>
      </c>
      <c r="H898" t="s">
        <v>160</v>
      </c>
      <c r="I898">
        <v>6</v>
      </c>
      <c r="J898" s="1">
        <v>127.9</v>
      </c>
      <c r="K898">
        <v>0.27</v>
      </c>
      <c r="L898" s="1">
        <v>660.97</v>
      </c>
      <c r="M898" s="1">
        <v>407.58</v>
      </c>
      <c r="N898" s="1">
        <v>63.91</v>
      </c>
      <c r="O898" t="s">
        <v>49</v>
      </c>
      <c r="P898">
        <v>4</v>
      </c>
      <c r="Q898" t="b">
        <v>1</v>
      </c>
      <c r="R898" t="s">
        <v>9</v>
      </c>
      <c r="S898" t="s">
        <v>2149</v>
      </c>
      <c r="T898" t="e">
        <f>IF(#REF!&lt;=25, "Young Age", IF(#REF!&lt;=40, "Mid Age", "Old Age"))</f>
        <v>#REF!</v>
      </c>
      <c r="U898" t="str">
        <f t="shared" ref="U898:U961" si="14">IF(S898 &lt;=4, "Okay", IF(S898 &lt;=7, "Delayed", "Over Delayed"))</f>
        <v>Over Delayed</v>
      </c>
    </row>
    <row r="899" spans="1:21" x14ac:dyDescent="0.35">
      <c r="A899" t="s">
        <v>1944</v>
      </c>
      <c r="B899" s="13">
        <v>44816</v>
      </c>
      <c r="C899" t="s">
        <v>1945</v>
      </c>
      <c r="D899" t="s">
        <v>3</v>
      </c>
      <c r="E899" t="s">
        <v>14</v>
      </c>
      <c r="F899" t="s">
        <v>22</v>
      </c>
      <c r="G899" t="s">
        <v>16</v>
      </c>
      <c r="H899" t="s">
        <v>557</v>
      </c>
      <c r="I899">
        <v>10</v>
      </c>
      <c r="J899" s="1">
        <v>767.55</v>
      </c>
      <c r="K899">
        <v>0.35</v>
      </c>
      <c r="L899" s="1">
        <v>6213.65</v>
      </c>
      <c r="M899" s="1">
        <v>2480.34</v>
      </c>
      <c r="N899" s="1">
        <v>45.37</v>
      </c>
      <c r="O899" t="s">
        <v>43</v>
      </c>
      <c r="P899">
        <v>4</v>
      </c>
      <c r="Q899" t="b">
        <v>0</v>
      </c>
      <c r="R899" t="s">
        <v>18</v>
      </c>
      <c r="S899">
        <v>5</v>
      </c>
      <c r="T899" t="e">
        <f>IF(#REF!&lt;=25, "Young Age", IF(#REF!&lt;=40, "Mid Age", "Old Age"))</f>
        <v>#REF!</v>
      </c>
      <c r="U899" t="str">
        <f t="shared" si="14"/>
        <v>Delayed</v>
      </c>
    </row>
    <row r="900" spans="1:21" x14ac:dyDescent="0.35">
      <c r="A900" t="s">
        <v>1946</v>
      </c>
      <c r="B900" s="13">
        <v>45643</v>
      </c>
      <c r="C900" t="s">
        <v>1947</v>
      </c>
      <c r="D900" t="s">
        <v>13</v>
      </c>
      <c r="E900" t="s">
        <v>53</v>
      </c>
      <c r="F900" t="s">
        <v>79</v>
      </c>
      <c r="G900" t="s">
        <v>16</v>
      </c>
      <c r="H900" t="s">
        <v>80</v>
      </c>
      <c r="I900">
        <v>5</v>
      </c>
      <c r="J900" s="1">
        <v>2144.13</v>
      </c>
      <c r="K900">
        <v>0.1</v>
      </c>
      <c r="L900" s="1">
        <v>9449.3700000000008</v>
      </c>
      <c r="M900" s="1">
        <v>4541.29</v>
      </c>
      <c r="N900" s="1">
        <v>19.04</v>
      </c>
      <c r="O900" t="s">
        <v>8</v>
      </c>
      <c r="P900" t="s">
        <v>2149</v>
      </c>
      <c r="Q900" t="b">
        <v>0</v>
      </c>
      <c r="R900" t="s">
        <v>18</v>
      </c>
      <c r="S900">
        <v>5</v>
      </c>
      <c r="T900" t="e">
        <f>IF(#REF!&lt;=25, "Young Age", IF(#REF!&lt;=40, "Mid Age", "Old Age"))</f>
        <v>#REF!</v>
      </c>
      <c r="U900" t="str">
        <f t="shared" si="14"/>
        <v>Delayed</v>
      </c>
    </row>
    <row r="901" spans="1:21" x14ac:dyDescent="0.35">
      <c r="A901" t="s">
        <v>1948</v>
      </c>
      <c r="B901" s="13">
        <v>45597</v>
      </c>
      <c r="C901" t="s">
        <v>1949</v>
      </c>
      <c r="D901" t="s">
        <v>47</v>
      </c>
      <c r="E901" t="s">
        <v>61</v>
      </c>
      <c r="F901" t="s">
        <v>222</v>
      </c>
      <c r="G901" t="s">
        <v>16</v>
      </c>
      <c r="H901" t="s">
        <v>80</v>
      </c>
      <c r="I901">
        <v>7</v>
      </c>
      <c r="J901" s="1">
        <v>680.72</v>
      </c>
      <c r="K901">
        <v>0.08</v>
      </c>
      <c r="L901" s="1">
        <v>3896.02</v>
      </c>
      <c r="M901" s="1">
        <v>1700.03</v>
      </c>
      <c r="N901" s="1">
        <v>71.25</v>
      </c>
      <c r="O901" t="s">
        <v>36</v>
      </c>
      <c r="P901">
        <v>5</v>
      </c>
      <c r="Q901" t="b">
        <v>0</v>
      </c>
      <c r="R901" t="s">
        <v>18</v>
      </c>
      <c r="S901">
        <v>2</v>
      </c>
      <c r="T901" t="e">
        <f>IF(#REF!&lt;=25, "Young Age", IF(#REF!&lt;=40, "Mid Age", "Old Age"))</f>
        <v>#REF!</v>
      </c>
      <c r="U901" t="str">
        <f t="shared" si="14"/>
        <v>Okay</v>
      </c>
    </row>
    <row r="902" spans="1:21" x14ac:dyDescent="0.35">
      <c r="A902" t="s">
        <v>1950</v>
      </c>
      <c r="B902" s="13">
        <v>45379</v>
      </c>
      <c r="C902" t="s">
        <v>1951</v>
      </c>
      <c r="D902" t="s">
        <v>3</v>
      </c>
      <c r="E902" t="s">
        <v>14</v>
      </c>
      <c r="F902" t="s">
        <v>84</v>
      </c>
      <c r="G902" t="s">
        <v>23</v>
      </c>
      <c r="H902" t="s">
        <v>95</v>
      </c>
      <c r="I902">
        <v>8</v>
      </c>
      <c r="J902" s="1">
        <v>32965.83</v>
      </c>
      <c r="K902">
        <v>0.21</v>
      </c>
      <c r="L902" s="1">
        <v>300897.34999999998</v>
      </c>
      <c r="M902" s="1">
        <v>94953.31</v>
      </c>
      <c r="N902" s="1">
        <v>68.39</v>
      </c>
      <c r="O902" t="s">
        <v>8</v>
      </c>
      <c r="P902">
        <v>5</v>
      </c>
      <c r="Q902" t="b">
        <v>0</v>
      </c>
      <c r="R902" t="s">
        <v>18</v>
      </c>
      <c r="S902">
        <v>10</v>
      </c>
      <c r="T902" t="e">
        <f>IF(#REF!&lt;=25, "Young Age", IF(#REF!&lt;=40, "Mid Age", "Old Age"))</f>
        <v>#REF!</v>
      </c>
      <c r="U902" t="str">
        <f t="shared" si="14"/>
        <v>Over Delayed</v>
      </c>
    </row>
    <row r="903" spans="1:21" x14ac:dyDescent="0.35">
      <c r="A903" t="s">
        <v>1952</v>
      </c>
      <c r="B903" s="13">
        <v>44839</v>
      </c>
      <c r="C903" t="s">
        <v>1953</v>
      </c>
      <c r="D903" t="s">
        <v>13</v>
      </c>
      <c r="E903" t="s">
        <v>4</v>
      </c>
      <c r="F903" t="s">
        <v>148</v>
      </c>
      <c r="G903" t="s">
        <v>16</v>
      </c>
      <c r="H903" t="s">
        <v>160</v>
      </c>
      <c r="I903">
        <v>9</v>
      </c>
      <c r="J903" s="1">
        <v>2425.6799999999998</v>
      </c>
      <c r="K903">
        <v>0.16</v>
      </c>
      <c r="L903" s="1">
        <v>13573.13</v>
      </c>
      <c r="M903" s="1">
        <v>3678.22</v>
      </c>
      <c r="N903" s="1">
        <v>64.69</v>
      </c>
      <c r="O903" t="s">
        <v>57</v>
      </c>
      <c r="P903">
        <v>1</v>
      </c>
      <c r="Q903" t="b">
        <v>0</v>
      </c>
      <c r="R903" t="s">
        <v>18</v>
      </c>
      <c r="S903">
        <v>9</v>
      </c>
      <c r="T903" t="e">
        <f>IF(#REF!&lt;=25, "Young Age", IF(#REF!&lt;=40, "Mid Age", "Old Age"))</f>
        <v>#REF!</v>
      </c>
      <c r="U903" t="str">
        <f t="shared" si="14"/>
        <v>Over Delayed</v>
      </c>
    </row>
    <row r="904" spans="1:21" x14ac:dyDescent="0.35">
      <c r="A904" t="s">
        <v>1954</v>
      </c>
      <c r="B904" s="13">
        <v>45532</v>
      </c>
      <c r="C904" t="s">
        <v>1955</v>
      </c>
      <c r="D904" t="s">
        <v>47</v>
      </c>
      <c r="E904" t="s">
        <v>89</v>
      </c>
      <c r="F904" t="s">
        <v>90</v>
      </c>
      <c r="G904" t="s">
        <v>6</v>
      </c>
      <c r="H904" t="s">
        <v>387</v>
      </c>
      <c r="I904">
        <v>2</v>
      </c>
      <c r="J904" s="1">
        <v>483.36</v>
      </c>
      <c r="K904">
        <v>0.14000000000000001</v>
      </c>
      <c r="L904" s="1">
        <v>1284.6300000000001</v>
      </c>
      <c r="M904" s="1">
        <v>91.4</v>
      </c>
      <c r="N904" s="1">
        <v>55.77</v>
      </c>
      <c r="O904" t="s">
        <v>57</v>
      </c>
      <c r="P904">
        <v>4</v>
      </c>
      <c r="Q904" t="b">
        <v>0</v>
      </c>
      <c r="R904" t="s">
        <v>18</v>
      </c>
      <c r="S904">
        <v>8</v>
      </c>
      <c r="T904" t="e">
        <f>IF(#REF!&lt;=25, "Young Age", IF(#REF!&lt;=40, "Mid Age", "Old Age"))</f>
        <v>#REF!</v>
      </c>
      <c r="U904" t="str">
        <f t="shared" si="14"/>
        <v>Over Delayed</v>
      </c>
    </row>
    <row r="905" spans="1:21" x14ac:dyDescent="0.35">
      <c r="A905" t="s">
        <v>1956</v>
      </c>
      <c r="B905" s="13">
        <v>45653</v>
      </c>
      <c r="C905" t="s">
        <v>1957</v>
      </c>
      <c r="D905" t="s">
        <v>13</v>
      </c>
      <c r="E905" t="s">
        <v>53</v>
      </c>
      <c r="F905" t="s">
        <v>54</v>
      </c>
      <c r="G905" t="s">
        <v>41</v>
      </c>
      <c r="H905" t="s">
        <v>244</v>
      </c>
      <c r="J905" s="1">
        <v>616.57000000000005</v>
      </c>
      <c r="K905">
        <v>0.36</v>
      </c>
      <c r="L905" s="1">
        <v>344.18</v>
      </c>
      <c r="M905" s="1">
        <v>145.51</v>
      </c>
      <c r="N905" s="1">
        <v>35.22</v>
      </c>
      <c r="O905" t="s">
        <v>57</v>
      </c>
      <c r="P905">
        <v>4</v>
      </c>
      <c r="Q905" t="b">
        <v>0</v>
      </c>
      <c r="R905" t="s">
        <v>37</v>
      </c>
      <c r="S905" t="s">
        <v>2149</v>
      </c>
      <c r="T905" t="e">
        <f>IF(#REF!&lt;=25, "Young Age", IF(#REF!&lt;=40, "Mid Age", "Old Age"))</f>
        <v>#REF!</v>
      </c>
      <c r="U905" t="str">
        <f t="shared" si="14"/>
        <v>Over Delayed</v>
      </c>
    </row>
    <row r="906" spans="1:21" x14ac:dyDescent="0.35">
      <c r="A906" t="s">
        <v>1958</v>
      </c>
      <c r="B906" s="13">
        <v>44530</v>
      </c>
      <c r="C906" t="s">
        <v>1881</v>
      </c>
      <c r="D906" t="s">
        <v>3</v>
      </c>
      <c r="E906" t="s">
        <v>61</v>
      </c>
      <c r="F906" t="s">
        <v>104</v>
      </c>
      <c r="G906" t="s">
        <v>41</v>
      </c>
      <c r="H906" t="s">
        <v>42</v>
      </c>
      <c r="I906">
        <v>9</v>
      </c>
      <c r="J906" s="1">
        <v>433.76</v>
      </c>
      <c r="K906">
        <v>0.33</v>
      </c>
      <c r="L906" s="1">
        <v>1929.18</v>
      </c>
      <c r="M906" s="1">
        <v>781.78</v>
      </c>
      <c r="N906" s="1">
        <v>97.16</v>
      </c>
      <c r="O906" t="s">
        <v>30</v>
      </c>
      <c r="P906">
        <v>4</v>
      </c>
      <c r="Q906" t="b">
        <v>0</v>
      </c>
      <c r="R906" t="s">
        <v>63</v>
      </c>
      <c r="S906">
        <v>2</v>
      </c>
      <c r="T906" t="e">
        <f>IF(#REF!&lt;=25, "Young Age", IF(#REF!&lt;=40, "Mid Age", "Old Age"))</f>
        <v>#REF!</v>
      </c>
      <c r="U906" t="str">
        <f t="shared" si="14"/>
        <v>Okay</v>
      </c>
    </row>
    <row r="907" spans="1:21" x14ac:dyDescent="0.35">
      <c r="A907" t="s">
        <v>1959</v>
      </c>
      <c r="B907" s="13">
        <v>44072</v>
      </c>
      <c r="C907" t="s">
        <v>1960</v>
      </c>
      <c r="D907" t="s">
        <v>13</v>
      </c>
      <c r="E907" t="s">
        <v>61</v>
      </c>
      <c r="F907" t="s">
        <v>104</v>
      </c>
      <c r="G907" t="s">
        <v>105</v>
      </c>
      <c r="H907" t="s">
        <v>282</v>
      </c>
      <c r="I907">
        <v>3</v>
      </c>
      <c r="J907" s="1">
        <v>17253.63</v>
      </c>
      <c r="K907">
        <v>0.05</v>
      </c>
      <c r="L907" s="1">
        <v>55070.91</v>
      </c>
      <c r="M907" s="1">
        <v>5633.84</v>
      </c>
      <c r="N907" s="1">
        <v>79.989999999999995</v>
      </c>
      <c r="O907" t="s">
        <v>36</v>
      </c>
      <c r="P907">
        <v>5</v>
      </c>
      <c r="Q907" t="b">
        <v>0</v>
      </c>
      <c r="R907" t="s">
        <v>18</v>
      </c>
      <c r="S907">
        <v>6</v>
      </c>
      <c r="T907" t="e">
        <f>IF(#REF!&lt;=25, "Young Age", IF(#REF!&lt;=40, "Mid Age", "Old Age"))</f>
        <v>#REF!</v>
      </c>
      <c r="U907" t="str">
        <f t="shared" si="14"/>
        <v>Delayed</v>
      </c>
    </row>
    <row r="908" spans="1:21" x14ac:dyDescent="0.35">
      <c r="A908" t="s">
        <v>1961</v>
      </c>
      <c r="B908" s="13">
        <v>44237</v>
      </c>
      <c r="C908" t="s">
        <v>1962</v>
      </c>
      <c r="D908" t="s">
        <v>3</v>
      </c>
      <c r="E908" t="s">
        <v>14</v>
      </c>
      <c r="F908" t="s">
        <v>84</v>
      </c>
      <c r="G908" t="s">
        <v>105</v>
      </c>
      <c r="H908" t="s">
        <v>438</v>
      </c>
      <c r="I908">
        <v>7</v>
      </c>
      <c r="J908" s="1">
        <v>60825.33</v>
      </c>
      <c r="K908">
        <v>0.39</v>
      </c>
      <c r="L908" s="1">
        <v>203704.25</v>
      </c>
      <c r="M908" s="1">
        <v>27664.1</v>
      </c>
      <c r="N908" s="1">
        <v>67.78</v>
      </c>
      <c r="O908" t="s">
        <v>30</v>
      </c>
      <c r="P908">
        <v>1</v>
      </c>
      <c r="Q908" t="b">
        <v>0</v>
      </c>
      <c r="R908" t="s">
        <v>18</v>
      </c>
      <c r="S908">
        <v>8</v>
      </c>
      <c r="T908" t="e">
        <f>IF(#REF!&lt;=25, "Young Age", IF(#REF!&lt;=40, "Mid Age", "Old Age"))</f>
        <v>#REF!</v>
      </c>
      <c r="U908" t="str">
        <f t="shared" si="14"/>
        <v>Over Delayed</v>
      </c>
    </row>
    <row r="909" spans="1:21" x14ac:dyDescent="0.35">
      <c r="A909" t="s">
        <v>1963</v>
      </c>
      <c r="B909" s="13">
        <v>45321</v>
      </c>
      <c r="C909" t="s">
        <v>1964</v>
      </c>
      <c r="D909" t="s">
        <v>47</v>
      </c>
      <c r="E909" t="s">
        <v>61</v>
      </c>
      <c r="F909" t="s">
        <v>104</v>
      </c>
      <c r="G909" t="s">
        <v>16</v>
      </c>
      <c r="H909" t="s">
        <v>17</v>
      </c>
      <c r="I909">
        <v>8</v>
      </c>
      <c r="J909" s="1">
        <v>1335.64</v>
      </c>
      <c r="K909">
        <v>0.27</v>
      </c>
      <c r="L909" s="1">
        <v>7442.31</v>
      </c>
      <c r="M909" s="1">
        <v>2973.2</v>
      </c>
      <c r="N909" s="1">
        <v>94.12</v>
      </c>
      <c r="O909" t="s">
        <v>36</v>
      </c>
      <c r="P909">
        <v>1</v>
      </c>
      <c r="Q909" t="b">
        <v>0</v>
      </c>
      <c r="R909" t="s">
        <v>115</v>
      </c>
      <c r="S909">
        <v>6</v>
      </c>
      <c r="T909" t="e">
        <f>IF(#REF!&lt;=25, "Young Age", IF(#REF!&lt;=40, "Mid Age", "Old Age"))</f>
        <v>#REF!</v>
      </c>
      <c r="U909" t="str">
        <f t="shared" si="14"/>
        <v>Delayed</v>
      </c>
    </row>
    <row r="910" spans="1:21" x14ac:dyDescent="0.35">
      <c r="A910" t="s">
        <v>1965</v>
      </c>
      <c r="B910" s="13">
        <v>44972</v>
      </c>
      <c r="C910" t="s">
        <v>1966</v>
      </c>
      <c r="D910" t="s">
        <v>47</v>
      </c>
      <c r="E910" t="s">
        <v>14</v>
      </c>
      <c r="F910" t="s">
        <v>22</v>
      </c>
      <c r="G910" t="s">
        <v>55</v>
      </c>
      <c r="H910" t="s">
        <v>100</v>
      </c>
      <c r="I910">
        <v>7</v>
      </c>
      <c r="J910" s="1">
        <v>668.17</v>
      </c>
      <c r="K910">
        <v>0.09</v>
      </c>
      <c r="L910" s="1">
        <v>4502.68</v>
      </c>
      <c r="M910" s="1">
        <v>1133.27</v>
      </c>
      <c r="N910" s="1">
        <v>38.590000000000003</v>
      </c>
      <c r="O910" t="s">
        <v>57</v>
      </c>
      <c r="P910">
        <v>5</v>
      </c>
      <c r="Q910" t="b">
        <v>0</v>
      </c>
      <c r="R910" t="s">
        <v>18</v>
      </c>
      <c r="S910">
        <v>8</v>
      </c>
      <c r="T910" t="e">
        <f>IF(#REF!&lt;=25, "Young Age", IF(#REF!&lt;=40, "Mid Age", "Old Age"))</f>
        <v>#REF!</v>
      </c>
      <c r="U910" t="str">
        <f t="shared" si="14"/>
        <v>Over Delayed</v>
      </c>
    </row>
    <row r="911" spans="1:21" x14ac:dyDescent="0.35">
      <c r="A911" t="s">
        <v>1967</v>
      </c>
      <c r="B911" s="13">
        <v>44013</v>
      </c>
      <c r="C911" t="s">
        <v>1968</v>
      </c>
      <c r="D911" t="s">
        <v>3</v>
      </c>
      <c r="E911" t="s">
        <v>61</v>
      </c>
      <c r="F911" t="s">
        <v>222</v>
      </c>
      <c r="G911" t="s">
        <v>16</v>
      </c>
      <c r="H911" t="s">
        <v>390</v>
      </c>
      <c r="I911">
        <v>0</v>
      </c>
      <c r="J911" s="1">
        <v>1076.68</v>
      </c>
      <c r="K911">
        <v>0.32</v>
      </c>
      <c r="L911" s="1">
        <v>1005.23</v>
      </c>
      <c r="M911" s="1">
        <v>335.77</v>
      </c>
      <c r="N911" s="1">
        <v>72.7</v>
      </c>
      <c r="O911" t="s">
        <v>8</v>
      </c>
      <c r="P911" t="s">
        <v>2149</v>
      </c>
      <c r="Q911" t="b">
        <v>0</v>
      </c>
      <c r="R911" t="s">
        <v>63</v>
      </c>
      <c r="S911">
        <v>8</v>
      </c>
      <c r="T911" t="e">
        <f>IF(#REF!&lt;=25, "Young Age", IF(#REF!&lt;=40, "Mid Age", "Old Age"))</f>
        <v>#REF!</v>
      </c>
      <c r="U911" t="str">
        <f t="shared" si="14"/>
        <v>Over Delayed</v>
      </c>
    </row>
    <row r="912" spans="1:21" x14ac:dyDescent="0.35">
      <c r="A912" t="s">
        <v>1969</v>
      </c>
      <c r="B912" s="13">
        <v>44063</v>
      </c>
      <c r="C912" t="s">
        <v>1970</v>
      </c>
      <c r="D912" t="s">
        <v>47</v>
      </c>
      <c r="E912" t="s">
        <v>89</v>
      </c>
      <c r="F912" t="s">
        <v>299</v>
      </c>
      <c r="G912" t="s">
        <v>55</v>
      </c>
      <c r="H912" t="s">
        <v>110</v>
      </c>
      <c r="I912">
        <v>1</v>
      </c>
      <c r="J912" s="1">
        <v>392.55</v>
      </c>
      <c r="K912">
        <v>7.0000000000000007E-2</v>
      </c>
      <c r="L912" s="1">
        <v>420.97</v>
      </c>
      <c r="M912" s="1">
        <v>161.71</v>
      </c>
      <c r="N912" s="1">
        <v>71.09</v>
      </c>
      <c r="O912" t="s">
        <v>49</v>
      </c>
      <c r="P912">
        <v>5</v>
      </c>
      <c r="Q912" t="b">
        <v>0</v>
      </c>
      <c r="R912" t="s">
        <v>37</v>
      </c>
      <c r="S912">
        <v>4</v>
      </c>
      <c r="T912" t="e">
        <f>IF(#REF!&lt;=25, "Young Age", IF(#REF!&lt;=40, "Mid Age", "Old Age"))</f>
        <v>#REF!</v>
      </c>
      <c r="U912" t="str">
        <f t="shared" si="14"/>
        <v>Okay</v>
      </c>
    </row>
    <row r="913" spans="1:21" x14ac:dyDescent="0.35">
      <c r="A913" t="s">
        <v>1971</v>
      </c>
      <c r="B913" s="13">
        <v>45360</v>
      </c>
      <c r="C913" t="s">
        <v>1972</v>
      </c>
      <c r="D913" t="s">
        <v>13</v>
      </c>
      <c r="E913" t="s">
        <v>61</v>
      </c>
      <c r="F913" t="s">
        <v>271</v>
      </c>
      <c r="G913" t="s">
        <v>124</v>
      </c>
      <c r="H913" t="s">
        <v>125</v>
      </c>
      <c r="I913">
        <v>4</v>
      </c>
      <c r="J913" s="1">
        <v>14904.61</v>
      </c>
      <c r="K913">
        <v>0</v>
      </c>
      <c r="L913" s="1">
        <v>79710.679999999993</v>
      </c>
      <c r="M913" s="1">
        <v>9835.5300000000007</v>
      </c>
      <c r="N913" s="1">
        <v>74</v>
      </c>
      <c r="O913" t="s">
        <v>57</v>
      </c>
      <c r="P913">
        <v>3</v>
      </c>
      <c r="Q913" t="b">
        <v>0</v>
      </c>
      <c r="R913" t="s">
        <v>37</v>
      </c>
      <c r="S913">
        <v>9</v>
      </c>
      <c r="T913" t="e">
        <f>IF(#REF!&lt;=25, "Young Age", IF(#REF!&lt;=40, "Mid Age", "Old Age"))</f>
        <v>#REF!</v>
      </c>
      <c r="U913" t="str">
        <f t="shared" si="14"/>
        <v>Over Delayed</v>
      </c>
    </row>
    <row r="914" spans="1:21" x14ac:dyDescent="0.35">
      <c r="A914" t="s">
        <v>1973</v>
      </c>
      <c r="B914" s="13">
        <v>44649</v>
      </c>
      <c r="C914" t="s">
        <v>1974</v>
      </c>
      <c r="D914" t="s">
        <v>3</v>
      </c>
      <c r="E914" t="s">
        <v>89</v>
      </c>
      <c r="F914" t="s">
        <v>90</v>
      </c>
      <c r="G914" t="s">
        <v>55</v>
      </c>
      <c r="H914" t="s">
        <v>185</v>
      </c>
      <c r="I914">
        <v>5</v>
      </c>
      <c r="J914" s="1">
        <v>3481.04</v>
      </c>
      <c r="K914">
        <v>0.35</v>
      </c>
      <c r="L914" s="1">
        <v>13960.24</v>
      </c>
      <c r="M914" s="1">
        <v>3567.18</v>
      </c>
      <c r="N914" s="1">
        <v>56.53</v>
      </c>
      <c r="O914" t="s">
        <v>49</v>
      </c>
      <c r="P914" t="s">
        <v>2149</v>
      </c>
      <c r="Q914" t="b">
        <v>0</v>
      </c>
      <c r="R914" t="s">
        <v>63</v>
      </c>
      <c r="S914">
        <v>8</v>
      </c>
      <c r="T914" t="e">
        <f>IF(#REF!&lt;=25, "Young Age", IF(#REF!&lt;=40, "Mid Age", "Old Age"))</f>
        <v>#REF!</v>
      </c>
      <c r="U914" t="str">
        <f t="shared" si="14"/>
        <v>Over Delayed</v>
      </c>
    </row>
    <row r="915" spans="1:21" x14ac:dyDescent="0.35">
      <c r="A915" t="s">
        <v>1975</v>
      </c>
      <c r="B915" s="13">
        <v>45001</v>
      </c>
      <c r="C915" t="s">
        <v>1976</v>
      </c>
      <c r="D915" t="s">
        <v>3</v>
      </c>
      <c r="E915" t="s">
        <v>4</v>
      </c>
      <c r="F915" t="s">
        <v>148</v>
      </c>
      <c r="G915" t="s">
        <v>41</v>
      </c>
      <c r="H915" t="s">
        <v>85</v>
      </c>
      <c r="I915">
        <v>8</v>
      </c>
      <c r="J915" s="1">
        <v>600.71</v>
      </c>
      <c r="K915">
        <v>0.17</v>
      </c>
      <c r="L915" s="1">
        <v>4278.59</v>
      </c>
      <c r="M915" s="1">
        <v>1539.55</v>
      </c>
      <c r="N915" s="1">
        <v>24.97</v>
      </c>
      <c r="O915" t="s">
        <v>8</v>
      </c>
      <c r="P915">
        <v>1</v>
      </c>
      <c r="Q915" t="b">
        <v>0</v>
      </c>
      <c r="R915" t="s">
        <v>18</v>
      </c>
      <c r="S915">
        <v>9</v>
      </c>
      <c r="T915" t="e">
        <f>IF(#REF!&lt;=25, "Young Age", IF(#REF!&lt;=40, "Mid Age", "Old Age"))</f>
        <v>#REF!</v>
      </c>
      <c r="U915" t="str">
        <f t="shared" si="14"/>
        <v>Over Delayed</v>
      </c>
    </row>
    <row r="916" spans="1:21" x14ac:dyDescent="0.35">
      <c r="A916" t="s">
        <v>1977</v>
      </c>
      <c r="B916" s="13">
        <v>45602</v>
      </c>
      <c r="C916" t="s">
        <v>1978</v>
      </c>
      <c r="D916" t="s">
        <v>13</v>
      </c>
      <c r="E916" t="s">
        <v>4</v>
      </c>
      <c r="F916" t="s">
        <v>5</v>
      </c>
      <c r="G916" t="s">
        <v>23</v>
      </c>
      <c r="H916" t="s">
        <v>71</v>
      </c>
      <c r="I916">
        <v>5</v>
      </c>
      <c r="J916" s="1">
        <v>2536.86</v>
      </c>
      <c r="K916">
        <v>0.36</v>
      </c>
      <c r="L916" s="1">
        <v>7801.91</v>
      </c>
      <c r="M916" s="1">
        <v>1900.47</v>
      </c>
      <c r="N916" s="1">
        <v>68.13</v>
      </c>
      <c r="O916" t="s">
        <v>8</v>
      </c>
      <c r="P916">
        <v>2</v>
      </c>
      <c r="Q916" t="b">
        <v>0</v>
      </c>
      <c r="R916" t="s">
        <v>63</v>
      </c>
      <c r="S916">
        <v>7</v>
      </c>
      <c r="T916" t="e">
        <f>IF(#REF!&lt;=25, "Young Age", IF(#REF!&lt;=40, "Mid Age", "Old Age"))</f>
        <v>#REF!</v>
      </c>
      <c r="U916" t="str">
        <f t="shared" si="14"/>
        <v>Delayed</v>
      </c>
    </row>
    <row r="917" spans="1:21" x14ac:dyDescent="0.35">
      <c r="A917" t="s">
        <v>1979</v>
      </c>
      <c r="B917" s="13">
        <v>44086</v>
      </c>
      <c r="C917" t="s">
        <v>1980</v>
      </c>
      <c r="D917" t="s">
        <v>3</v>
      </c>
      <c r="E917" t="s">
        <v>61</v>
      </c>
      <c r="F917" t="s">
        <v>271</v>
      </c>
      <c r="G917" t="s">
        <v>55</v>
      </c>
      <c r="H917" t="s">
        <v>185</v>
      </c>
      <c r="I917">
        <v>3</v>
      </c>
      <c r="J917" s="1">
        <v>3089.43</v>
      </c>
      <c r="K917">
        <v>0.09</v>
      </c>
      <c r="L917" s="1">
        <v>7257.03</v>
      </c>
      <c r="M917" s="1">
        <v>2480.31</v>
      </c>
      <c r="N917" s="1">
        <v>82.77</v>
      </c>
      <c r="O917" t="s">
        <v>49</v>
      </c>
      <c r="P917" t="s">
        <v>2149</v>
      </c>
      <c r="Q917" t="b">
        <v>1</v>
      </c>
      <c r="R917" t="s">
        <v>9</v>
      </c>
      <c r="S917">
        <v>6</v>
      </c>
      <c r="T917" t="e">
        <f>IF(#REF!&lt;=25, "Young Age", IF(#REF!&lt;=40, "Mid Age", "Old Age"))</f>
        <v>#REF!</v>
      </c>
      <c r="U917" t="str">
        <f t="shared" si="14"/>
        <v>Delayed</v>
      </c>
    </row>
    <row r="918" spans="1:21" x14ac:dyDescent="0.35">
      <c r="A918" t="s">
        <v>1981</v>
      </c>
      <c r="B918" s="13">
        <v>45261</v>
      </c>
      <c r="C918" t="s">
        <v>1982</v>
      </c>
      <c r="D918" t="s">
        <v>13</v>
      </c>
      <c r="E918" t="s">
        <v>61</v>
      </c>
      <c r="F918" t="s">
        <v>222</v>
      </c>
      <c r="G918" t="s">
        <v>6</v>
      </c>
      <c r="H918" t="s">
        <v>75</v>
      </c>
      <c r="I918">
        <v>4</v>
      </c>
      <c r="J918" s="1">
        <v>206.91</v>
      </c>
      <c r="K918">
        <v>0.2</v>
      </c>
      <c r="L918" s="1">
        <v>574.20000000000005</v>
      </c>
      <c r="M918" s="1">
        <v>59.02</v>
      </c>
      <c r="N918" s="1">
        <v>52.38</v>
      </c>
      <c r="O918" t="s">
        <v>8</v>
      </c>
      <c r="P918" t="s">
        <v>2149</v>
      </c>
      <c r="Q918" t="b">
        <v>0</v>
      </c>
      <c r="R918" t="s">
        <v>18</v>
      </c>
      <c r="S918">
        <v>2</v>
      </c>
      <c r="T918" t="e">
        <f>IF(#REF!&lt;=25, "Young Age", IF(#REF!&lt;=40, "Mid Age", "Old Age"))</f>
        <v>#REF!</v>
      </c>
      <c r="U918" t="str">
        <f t="shared" si="14"/>
        <v>Okay</v>
      </c>
    </row>
    <row r="919" spans="1:21" x14ac:dyDescent="0.35">
      <c r="A919" t="s">
        <v>1983</v>
      </c>
      <c r="B919" s="13">
        <v>44789</v>
      </c>
      <c r="C919" t="s">
        <v>1984</v>
      </c>
      <c r="D919" t="s">
        <v>47</v>
      </c>
      <c r="E919" t="s">
        <v>61</v>
      </c>
      <c r="F919" t="s">
        <v>271</v>
      </c>
      <c r="G919" t="s">
        <v>41</v>
      </c>
      <c r="H919" t="s">
        <v>244</v>
      </c>
      <c r="I919">
        <v>2</v>
      </c>
      <c r="J919" s="1">
        <v>244.36</v>
      </c>
      <c r="K919">
        <v>0.12</v>
      </c>
      <c r="L919" s="1">
        <v>485.28</v>
      </c>
      <c r="M919" s="1">
        <v>192.95</v>
      </c>
      <c r="N919" s="1">
        <v>79.16</v>
      </c>
      <c r="O919" t="s">
        <v>43</v>
      </c>
      <c r="P919">
        <v>2</v>
      </c>
      <c r="Q919" t="b">
        <v>0</v>
      </c>
      <c r="R919" t="s">
        <v>37</v>
      </c>
      <c r="S919">
        <v>2</v>
      </c>
      <c r="T919" t="e">
        <f>IF(#REF!&lt;=25, "Young Age", IF(#REF!&lt;=40, "Mid Age", "Old Age"))</f>
        <v>#REF!</v>
      </c>
      <c r="U919" t="str">
        <f t="shared" si="14"/>
        <v>Okay</v>
      </c>
    </row>
    <row r="920" spans="1:21" x14ac:dyDescent="0.35">
      <c r="A920" t="s">
        <v>312</v>
      </c>
      <c r="B920" s="13">
        <v>44003</v>
      </c>
      <c r="C920" t="s">
        <v>313</v>
      </c>
      <c r="D920" t="s">
        <v>3</v>
      </c>
      <c r="E920" t="s">
        <v>89</v>
      </c>
      <c r="F920" t="s">
        <v>119</v>
      </c>
      <c r="G920" t="s">
        <v>105</v>
      </c>
      <c r="H920" t="s">
        <v>120</v>
      </c>
      <c r="I920">
        <v>5</v>
      </c>
      <c r="J920" s="1">
        <v>28892.57</v>
      </c>
      <c r="K920">
        <v>7.0000000000000007E-2</v>
      </c>
      <c r="L920" s="1">
        <v>205453.46</v>
      </c>
      <c r="M920" s="1">
        <v>25286.68</v>
      </c>
      <c r="N920" s="1">
        <v>84.72</v>
      </c>
      <c r="O920" t="s">
        <v>8</v>
      </c>
      <c r="P920">
        <v>5</v>
      </c>
      <c r="Q920" t="b">
        <v>0</v>
      </c>
      <c r="R920" t="s">
        <v>18</v>
      </c>
      <c r="S920">
        <v>6</v>
      </c>
      <c r="T920" t="e">
        <f>IF(#REF!&lt;=25, "Young Age", IF(#REF!&lt;=40, "Mid Age", "Old Age"))</f>
        <v>#REF!</v>
      </c>
      <c r="U920" t="str">
        <f t="shared" si="14"/>
        <v>Delayed</v>
      </c>
    </row>
    <row r="921" spans="1:21" x14ac:dyDescent="0.35">
      <c r="A921" t="s">
        <v>1985</v>
      </c>
      <c r="B921" s="13">
        <v>44235</v>
      </c>
      <c r="C921" t="s">
        <v>1986</v>
      </c>
      <c r="D921" t="s">
        <v>13</v>
      </c>
      <c r="E921" t="s">
        <v>14</v>
      </c>
      <c r="F921" t="s">
        <v>28</v>
      </c>
      <c r="G921" t="s">
        <v>41</v>
      </c>
      <c r="H921" t="s">
        <v>244</v>
      </c>
      <c r="I921">
        <v>2</v>
      </c>
      <c r="J921" s="1">
        <v>583.34</v>
      </c>
      <c r="K921">
        <v>0.24</v>
      </c>
      <c r="L921" s="1">
        <v>678.92</v>
      </c>
      <c r="M921" s="1">
        <v>261.88</v>
      </c>
      <c r="N921" s="1">
        <v>72.31</v>
      </c>
      <c r="O921" t="s">
        <v>43</v>
      </c>
      <c r="P921">
        <v>5</v>
      </c>
      <c r="Q921" t="b">
        <v>0</v>
      </c>
      <c r="R921" t="s">
        <v>18</v>
      </c>
      <c r="S921">
        <v>5</v>
      </c>
      <c r="T921" t="e">
        <f>IF(#REF!&lt;=25, "Young Age", IF(#REF!&lt;=40, "Mid Age", "Old Age"))</f>
        <v>#REF!</v>
      </c>
      <c r="U921" t="str">
        <f t="shared" si="14"/>
        <v>Delayed</v>
      </c>
    </row>
    <row r="922" spans="1:21" x14ac:dyDescent="0.35">
      <c r="A922" t="s">
        <v>1987</v>
      </c>
      <c r="B922" s="13">
        <v>45633</v>
      </c>
      <c r="C922" t="s">
        <v>1988</v>
      </c>
      <c r="D922" t="s">
        <v>47</v>
      </c>
      <c r="E922" t="s">
        <v>4</v>
      </c>
      <c r="F922" t="s">
        <v>148</v>
      </c>
      <c r="G922" t="s">
        <v>41</v>
      </c>
      <c r="H922" t="s">
        <v>261</v>
      </c>
      <c r="I922">
        <v>8</v>
      </c>
      <c r="J922" s="1">
        <v>519.04999999999995</v>
      </c>
      <c r="K922">
        <v>0.33</v>
      </c>
      <c r="L922" s="1">
        <v>2627.87</v>
      </c>
      <c r="M922" s="1">
        <v>1117.94</v>
      </c>
      <c r="N922" s="1">
        <v>51.28</v>
      </c>
      <c r="O922" t="s">
        <v>8</v>
      </c>
      <c r="P922">
        <v>2</v>
      </c>
      <c r="Q922" t="b">
        <v>0</v>
      </c>
      <c r="R922" t="s">
        <v>18</v>
      </c>
      <c r="S922">
        <v>10</v>
      </c>
      <c r="T922" t="e">
        <f>IF(#REF!&lt;=25, "Young Age", IF(#REF!&lt;=40, "Mid Age", "Old Age"))</f>
        <v>#REF!</v>
      </c>
      <c r="U922" t="str">
        <f t="shared" si="14"/>
        <v>Over Delayed</v>
      </c>
    </row>
    <row r="923" spans="1:21" x14ac:dyDescent="0.35">
      <c r="A923" t="s">
        <v>1989</v>
      </c>
      <c r="B923" s="13">
        <v>44175</v>
      </c>
      <c r="C923" t="s">
        <v>1990</v>
      </c>
      <c r="D923" t="s">
        <v>47</v>
      </c>
      <c r="E923" t="s">
        <v>61</v>
      </c>
      <c r="F923" t="s">
        <v>62</v>
      </c>
      <c r="G923" t="s">
        <v>105</v>
      </c>
      <c r="H923" t="s">
        <v>282</v>
      </c>
      <c r="I923">
        <v>10</v>
      </c>
      <c r="J923" s="1">
        <v>23990.02</v>
      </c>
      <c r="K923">
        <v>0.11</v>
      </c>
      <c r="L923" s="1">
        <v>188453.46</v>
      </c>
      <c r="M923" s="1">
        <v>26897.47</v>
      </c>
      <c r="N923" s="1">
        <v>73.319999999999993</v>
      </c>
      <c r="O923" t="s">
        <v>43</v>
      </c>
      <c r="P923">
        <v>4</v>
      </c>
      <c r="Q923" t="b">
        <v>0</v>
      </c>
      <c r="R923" t="s">
        <v>175</v>
      </c>
      <c r="S923">
        <v>8</v>
      </c>
      <c r="T923" t="e">
        <f>IF(#REF!&lt;=25, "Young Age", IF(#REF!&lt;=40, "Mid Age", "Old Age"))</f>
        <v>#REF!</v>
      </c>
      <c r="U923" t="str">
        <f t="shared" si="14"/>
        <v>Over Delayed</v>
      </c>
    </row>
    <row r="924" spans="1:21" x14ac:dyDescent="0.35">
      <c r="A924" t="s">
        <v>1991</v>
      </c>
      <c r="B924" s="13">
        <v>43891</v>
      </c>
      <c r="C924" t="s">
        <v>1992</v>
      </c>
      <c r="D924" t="s">
        <v>3</v>
      </c>
      <c r="E924" t="s">
        <v>89</v>
      </c>
      <c r="F924" t="s">
        <v>299</v>
      </c>
      <c r="G924" t="s">
        <v>55</v>
      </c>
      <c r="H924" t="s">
        <v>110</v>
      </c>
      <c r="I924">
        <v>1</v>
      </c>
      <c r="J924" s="1">
        <v>1792.52</v>
      </c>
      <c r="K924">
        <v>0.38</v>
      </c>
      <c r="L924" s="1">
        <v>862.61</v>
      </c>
      <c r="M924" s="1">
        <v>322.56</v>
      </c>
      <c r="N924" s="1">
        <v>69.84</v>
      </c>
      <c r="O924" t="s">
        <v>30</v>
      </c>
      <c r="P924">
        <v>4</v>
      </c>
      <c r="Q924" t="b">
        <v>1</v>
      </c>
      <c r="R924" t="s">
        <v>9</v>
      </c>
      <c r="S924">
        <v>8</v>
      </c>
      <c r="T924" t="e">
        <f>IF(#REF!&lt;=25, "Young Age", IF(#REF!&lt;=40, "Mid Age", "Old Age"))</f>
        <v>#REF!</v>
      </c>
      <c r="U924" t="str">
        <f t="shared" si="14"/>
        <v>Over Delayed</v>
      </c>
    </row>
    <row r="925" spans="1:21" x14ac:dyDescent="0.35">
      <c r="A925" t="s">
        <v>1993</v>
      </c>
      <c r="B925" s="13">
        <v>44354</v>
      </c>
      <c r="C925" t="s">
        <v>1994</v>
      </c>
      <c r="D925" t="s">
        <v>3</v>
      </c>
      <c r="E925" t="s">
        <v>14</v>
      </c>
      <c r="F925" t="s">
        <v>15</v>
      </c>
      <c r="G925" t="s">
        <v>23</v>
      </c>
      <c r="H925" t="s">
        <v>199</v>
      </c>
      <c r="I925">
        <v>5</v>
      </c>
      <c r="J925" s="1">
        <v>16063.03</v>
      </c>
      <c r="K925">
        <v>0.35</v>
      </c>
      <c r="L925" s="1">
        <v>70662.81</v>
      </c>
      <c r="M925" s="1">
        <v>22910.799999999999</v>
      </c>
      <c r="N925" s="1">
        <v>74.66</v>
      </c>
      <c r="O925" t="s">
        <v>36</v>
      </c>
      <c r="P925">
        <v>3</v>
      </c>
      <c r="Q925" t="b">
        <v>0</v>
      </c>
      <c r="R925" t="s">
        <v>18</v>
      </c>
      <c r="S925">
        <v>6</v>
      </c>
      <c r="T925" t="e">
        <f>IF(#REF!&lt;=25, "Young Age", IF(#REF!&lt;=40, "Mid Age", "Old Age"))</f>
        <v>#REF!</v>
      </c>
      <c r="U925" t="str">
        <f t="shared" si="14"/>
        <v>Delayed</v>
      </c>
    </row>
    <row r="926" spans="1:21" x14ac:dyDescent="0.35">
      <c r="A926" t="s">
        <v>1995</v>
      </c>
      <c r="B926" s="13">
        <v>45259</v>
      </c>
      <c r="C926" t="s">
        <v>1996</v>
      </c>
      <c r="D926" t="s">
        <v>13</v>
      </c>
      <c r="E926" t="s">
        <v>61</v>
      </c>
      <c r="F926" t="s">
        <v>271</v>
      </c>
      <c r="G926" t="s">
        <v>105</v>
      </c>
      <c r="H926" t="s">
        <v>106</v>
      </c>
      <c r="I926">
        <v>1</v>
      </c>
      <c r="J926" s="1">
        <v>19475.099999999999</v>
      </c>
      <c r="K926">
        <v>0.27</v>
      </c>
      <c r="L926" s="1">
        <v>12588.84</v>
      </c>
      <c r="M926" s="1">
        <v>1124.3399999999999</v>
      </c>
      <c r="N926" s="1">
        <v>70.91</v>
      </c>
      <c r="O926" t="s">
        <v>36</v>
      </c>
      <c r="P926" t="s">
        <v>2149</v>
      </c>
      <c r="Q926" t="b">
        <v>0</v>
      </c>
      <c r="R926" t="s">
        <v>18</v>
      </c>
      <c r="S926">
        <v>100</v>
      </c>
      <c r="T926" t="e">
        <f>IF(#REF!&lt;=25, "Young Age", IF(#REF!&lt;=40, "Mid Age", "Old Age"))</f>
        <v>#REF!</v>
      </c>
      <c r="U926" t="str">
        <f t="shared" si="14"/>
        <v>Over Delayed</v>
      </c>
    </row>
    <row r="927" spans="1:21" x14ac:dyDescent="0.35">
      <c r="A927" t="s">
        <v>1997</v>
      </c>
      <c r="B927" s="13">
        <v>44764</v>
      </c>
      <c r="C927" t="s">
        <v>1998</v>
      </c>
      <c r="D927" t="s">
        <v>13</v>
      </c>
      <c r="E927" t="s">
        <v>53</v>
      </c>
      <c r="F927" t="s">
        <v>79</v>
      </c>
      <c r="G927" t="s">
        <v>6</v>
      </c>
      <c r="H927" t="s">
        <v>35</v>
      </c>
      <c r="I927">
        <v>1</v>
      </c>
      <c r="J927" s="1">
        <v>396.39</v>
      </c>
      <c r="K927">
        <v>0.09</v>
      </c>
      <c r="L927" s="1">
        <v>480.61</v>
      </c>
      <c r="M927" s="1">
        <v>45.56</v>
      </c>
      <c r="N927" s="1">
        <v>57.89</v>
      </c>
      <c r="O927" t="s">
        <v>49</v>
      </c>
      <c r="P927">
        <v>2</v>
      </c>
      <c r="Q927" t="b">
        <v>0</v>
      </c>
      <c r="R927" t="s">
        <v>18</v>
      </c>
      <c r="S927">
        <v>1</v>
      </c>
      <c r="T927" t="e">
        <f>IF(#REF!&lt;=25, "Young Age", IF(#REF!&lt;=40, "Mid Age", "Old Age"))</f>
        <v>#REF!</v>
      </c>
      <c r="U927" t="str">
        <f t="shared" si="14"/>
        <v>Okay</v>
      </c>
    </row>
    <row r="928" spans="1:21" x14ac:dyDescent="0.35">
      <c r="A928" t="s">
        <v>1999</v>
      </c>
      <c r="B928" s="13">
        <v>44177</v>
      </c>
      <c r="C928" t="s">
        <v>2000</v>
      </c>
      <c r="D928" t="s">
        <v>47</v>
      </c>
      <c r="E928" t="s">
        <v>89</v>
      </c>
      <c r="F928" t="s">
        <v>99</v>
      </c>
      <c r="G928" t="s">
        <v>23</v>
      </c>
      <c r="H928" t="s">
        <v>95</v>
      </c>
      <c r="I928">
        <v>5</v>
      </c>
      <c r="J928" s="1">
        <v>24816.99</v>
      </c>
      <c r="K928">
        <v>0.02</v>
      </c>
      <c r="L928" s="1">
        <v>87226.55</v>
      </c>
      <c r="M928" s="1">
        <v>24905.94</v>
      </c>
      <c r="N928" s="1">
        <v>51.05</v>
      </c>
      <c r="O928" t="s">
        <v>8</v>
      </c>
      <c r="P928" t="s">
        <v>2149</v>
      </c>
      <c r="Q928" t="b">
        <v>0</v>
      </c>
      <c r="R928" t="s">
        <v>18</v>
      </c>
      <c r="S928">
        <v>1</v>
      </c>
      <c r="T928" t="e">
        <f>IF(#REF!&lt;=25, "Young Age", IF(#REF!&lt;=40, "Mid Age", "Old Age"))</f>
        <v>#REF!</v>
      </c>
      <c r="U928" t="str">
        <f t="shared" si="14"/>
        <v>Okay</v>
      </c>
    </row>
    <row r="929" spans="1:21" x14ac:dyDescent="0.35">
      <c r="A929" t="s">
        <v>2001</v>
      </c>
      <c r="B929" s="13">
        <v>44394</v>
      </c>
      <c r="C929" t="s">
        <v>2002</v>
      </c>
      <c r="D929" t="s">
        <v>3</v>
      </c>
      <c r="E929" t="s">
        <v>61</v>
      </c>
      <c r="F929" t="s">
        <v>62</v>
      </c>
      <c r="G929" t="s">
        <v>23</v>
      </c>
      <c r="H929" t="s">
        <v>29</v>
      </c>
      <c r="I929">
        <v>2</v>
      </c>
      <c r="J929" s="1">
        <v>9066.85</v>
      </c>
      <c r="K929">
        <v>0.3</v>
      </c>
      <c r="L929" s="1">
        <v>13846.15</v>
      </c>
      <c r="M929" s="1">
        <v>3812.64</v>
      </c>
      <c r="N929" s="1">
        <v>91.56</v>
      </c>
      <c r="O929" t="s">
        <v>30</v>
      </c>
      <c r="P929">
        <v>1</v>
      </c>
      <c r="Q929" t="b">
        <v>0</v>
      </c>
      <c r="R929" t="s">
        <v>18</v>
      </c>
      <c r="S929">
        <v>9</v>
      </c>
      <c r="T929" t="e">
        <f>IF(#REF!&lt;=25, "Young Age", IF(#REF!&lt;=40, "Mid Age", "Old Age"))</f>
        <v>#REF!</v>
      </c>
      <c r="U929" t="str">
        <f t="shared" si="14"/>
        <v>Over Delayed</v>
      </c>
    </row>
    <row r="930" spans="1:21" x14ac:dyDescent="0.35">
      <c r="A930" t="s">
        <v>2003</v>
      </c>
      <c r="B930" s="13">
        <v>44527</v>
      </c>
      <c r="C930" t="s">
        <v>2004</v>
      </c>
      <c r="D930" t="s">
        <v>47</v>
      </c>
      <c r="E930" t="s">
        <v>14</v>
      </c>
      <c r="F930" t="s">
        <v>15</v>
      </c>
      <c r="G930" t="s">
        <v>124</v>
      </c>
      <c r="H930" t="s">
        <v>139</v>
      </c>
      <c r="I930">
        <v>9</v>
      </c>
      <c r="J930" s="1">
        <v>13211.32</v>
      </c>
      <c r="K930">
        <v>0.17</v>
      </c>
      <c r="L930" s="1">
        <v>81467.429999999993</v>
      </c>
      <c r="M930" s="1">
        <v>18155</v>
      </c>
      <c r="N930" s="1">
        <v>52.32</v>
      </c>
      <c r="O930" t="s">
        <v>57</v>
      </c>
      <c r="P930">
        <v>3</v>
      </c>
      <c r="Q930" t="b">
        <v>0</v>
      </c>
      <c r="R930" t="s">
        <v>18</v>
      </c>
      <c r="S930">
        <v>5</v>
      </c>
      <c r="T930" t="e">
        <f>IF(#REF!&lt;=25, "Young Age", IF(#REF!&lt;=40, "Mid Age", "Old Age"))</f>
        <v>#REF!</v>
      </c>
      <c r="U930" t="str">
        <f t="shared" si="14"/>
        <v>Delayed</v>
      </c>
    </row>
    <row r="931" spans="1:21" x14ac:dyDescent="0.35">
      <c r="A931" t="s">
        <v>2005</v>
      </c>
      <c r="B931" s="13">
        <v>45213</v>
      </c>
      <c r="C931" t="s">
        <v>2006</v>
      </c>
      <c r="D931" t="s">
        <v>13</v>
      </c>
      <c r="E931" t="s">
        <v>53</v>
      </c>
      <c r="F931" t="s">
        <v>79</v>
      </c>
      <c r="G931" t="s">
        <v>124</v>
      </c>
      <c r="H931" t="s">
        <v>139</v>
      </c>
      <c r="I931">
        <v>9</v>
      </c>
      <c r="J931" s="1">
        <v>9769.82</v>
      </c>
      <c r="K931">
        <v>0.32</v>
      </c>
      <c r="L931" s="1">
        <v>64012.37</v>
      </c>
      <c r="M931" s="1">
        <v>13161.33</v>
      </c>
      <c r="N931" s="1">
        <v>50.8</v>
      </c>
      <c r="O931" t="s">
        <v>36</v>
      </c>
      <c r="P931">
        <v>4</v>
      </c>
      <c r="Q931" t="b">
        <v>0</v>
      </c>
      <c r="R931" t="s">
        <v>18</v>
      </c>
      <c r="S931">
        <v>6</v>
      </c>
      <c r="T931" t="e">
        <f>IF(#REF!&lt;=25, "Young Age", IF(#REF!&lt;=40, "Mid Age", "Old Age"))</f>
        <v>#REF!</v>
      </c>
      <c r="U931" t="str">
        <f t="shared" si="14"/>
        <v>Delayed</v>
      </c>
    </row>
    <row r="932" spans="1:21" x14ac:dyDescent="0.35">
      <c r="A932" t="s">
        <v>2007</v>
      </c>
      <c r="B932" s="13">
        <v>44442</v>
      </c>
      <c r="C932" t="s">
        <v>2008</v>
      </c>
      <c r="D932" t="s">
        <v>3</v>
      </c>
      <c r="E932" t="s">
        <v>4</v>
      </c>
      <c r="F932" t="s">
        <v>34</v>
      </c>
      <c r="G932" t="s">
        <v>124</v>
      </c>
      <c r="H932" t="s">
        <v>413</v>
      </c>
      <c r="I932">
        <v>5</v>
      </c>
      <c r="J932" s="1">
        <v>9013.26</v>
      </c>
      <c r="K932">
        <v>0.28000000000000003</v>
      </c>
      <c r="L932" s="1">
        <v>36168.33</v>
      </c>
      <c r="M932" s="1">
        <v>10509.8</v>
      </c>
      <c r="N932" s="1">
        <v>35.94</v>
      </c>
      <c r="O932" t="s">
        <v>57</v>
      </c>
      <c r="P932">
        <v>5</v>
      </c>
      <c r="Q932" t="b">
        <v>0</v>
      </c>
      <c r="R932" t="s">
        <v>115</v>
      </c>
      <c r="S932">
        <v>7</v>
      </c>
      <c r="T932" t="e">
        <f>IF(#REF!&lt;=25, "Young Age", IF(#REF!&lt;=40, "Mid Age", "Old Age"))</f>
        <v>#REF!</v>
      </c>
      <c r="U932" t="str">
        <f t="shared" si="14"/>
        <v>Delayed</v>
      </c>
    </row>
    <row r="933" spans="1:21" x14ac:dyDescent="0.35">
      <c r="A933" t="s">
        <v>2009</v>
      </c>
      <c r="B933" s="13">
        <v>44191</v>
      </c>
      <c r="C933" t="s">
        <v>2010</v>
      </c>
      <c r="D933" t="s">
        <v>13</v>
      </c>
      <c r="E933" t="s">
        <v>53</v>
      </c>
      <c r="F933" t="s">
        <v>114</v>
      </c>
      <c r="G933" t="s">
        <v>16</v>
      </c>
      <c r="H933" t="s">
        <v>80</v>
      </c>
      <c r="I933">
        <v>4</v>
      </c>
      <c r="J933" s="1">
        <v>2326.66</v>
      </c>
      <c r="K933">
        <v>0.09</v>
      </c>
      <c r="L933" s="1">
        <v>5850.88</v>
      </c>
      <c r="M933" s="1">
        <v>3176.85</v>
      </c>
      <c r="N933" s="1">
        <v>61.42</v>
      </c>
      <c r="O933" t="s">
        <v>57</v>
      </c>
      <c r="P933">
        <v>5</v>
      </c>
      <c r="Q933" t="b">
        <v>0</v>
      </c>
      <c r="R933" t="s">
        <v>115</v>
      </c>
      <c r="S933">
        <v>10</v>
      </c>
      <c r="T933" t="e">
        <f>IF(#REF!&lt;=25, "Young Age", IF(#REF!&lt;=40, "Mid Age", "Old Age"))</f>
        <v>#REF!</v>
      </c>
      <c r="U933" t="str">
        <f t="shared" si="14"/>
        <v>Over Delayed</v>
      </c>
    </row>
    <row r="934" spans="1:21" x14ac:dyDescent="0.35">
      <c r="A934" t="s">
        <v>2011</v>
      </c>
      <c r="B934" s="13">
        <v>45176</v>
      </c>
      <c r="C934" t="s">
        <v>2012</v>
      </c>
      <c r="D934" t="s">
        <v>13</v>
      </c>
      <c r="E934" t="s">
        <v>53</v>
      </c>
      <c r="F934" t="s">
        <v>79</v>
      </c>
      <c r="G934" t="s">
        <v>55</v>
      </c>
      <c r="H934" t="s">
        <v>91</v>
      </c>
      <c r="I934">
        <v>3</v>
      </c>
      <c r="J934" s="1">
        <v>3741.92</v>
      </c>
      <c r="K934">
        <v>0.21</v>
      </c>
      <c r="L934" s="1">
        <v>11519.71</v>
      </c>
      <c r="M934" s="1">
        <v>2740.01</v>
      </c>
      <c r="N934" s="1">
        <v>58.8</v>
      </c>
      <c r="O934" t="s">
        <v>43</v>
      </c>
      <c r="P934">
        <v>4</v>
      </c>
      <c r="Q934" t="b">
        <v>0</v>
      </c>
      <c r="R934" t="s">
        <v>63</v>
      </c>
      <c r="S934">
        <v>1</v>
      </c>
      <c r="T934" t="e">
        <f>IF(#REF!&lt;=25, "Young Age", IF(#REF!&lt;=40, "Mid Age", "Old Age"))</f>
        <v>#REF!</v>
      </c>
      <c r="U934" t="str">
        <f t="shared" si="14"/>
        <v>Okay</v>
      </c>
    </row>
    <row r="935" spans="1:21" x14ac:dyDescent="0.35">
      <c r="A935" t="s">
        <v>2013</v>
      </c>
      <c r="B935" s="13">
        <v>44985</v>
      </c>
      <c r="C935" t="s">
        <v>2014</v>
      </c>
      <c r="D935" t="s">
        <v>47</v>
      </c>
      <c r="E935" t="s">
        <v>53</v>
      </c>
      <c r="F935" t="s">
        <v>54</v>
      </c>
      <c r="G935" t="s">
        <v>23</v>
      </c>
      <c r="H935" t="s">
        <v>164</v>
      </c>
      <c r="I935">
        <v>3</v>
      </c>
      <c r="J935" s="1">
        <v>4087.5</v>
      </c>
      <c r="K935">
        <v>0.36</v>
      </c>
      <c r="L935" s="1">
        <v>8585.93</v>
      </c>
      <c r="M935" s="1">
        <v>2520.92</v>
      </c>
      <c r="N935" s="1">
        <v>36.770000000000003</v>
      </c>
      <c r="O935" t="s">
        <v>43</v>
      </c>
      <c r="P935" t="s">
        <v>2149</v>
      </c>
      <c r="Q935" t="b">
        <v>0</v>
      </c>
      <c r="R935" t="s">
        <v>37</v>
      </c>
      <c r="S935">
        <v>9</v>
      </c>
      <c r="T935" t="e">
        <f>IF(#REF!&lt;=25, "Young Age", IF(#REF!&lt;=40, "Mid Age", "Old Age"))</f>
        <v>#REF!</v>
      </c>
      <c r="U935" t="str">
        <f t="shared" si="14"/>
        <v>Over Delayed</v>
      </c>
    </row>
    <row r="936" spans="1:21" x14ac:dyDescent="0.35">
      <c r="A936" t="s">
        <v>2015</v>
      </c>
      <c r="B936" s="13">
        <v>45524</v>
      </c>
      <c r="C936" t="s">
        <v>2016</v>
      </c>
      <c r="D936" t="s">
        <v>13</v>
      </c>
      <c r="E936" t="s">
        <v>4</v>
      </c>
      <c r="F936" t="s">
        <v>5</v>
      </c>
      <c r="G936" t="s">
        <v>55</v>
      </c>
      <c r="H936" t="s">
        <v>185</v>
      </c>
      <c r="I936">
        <v>5</v>
      </c>
      <c r="J936" s="1">
        <v>1293.07</v>
      </c>
      <c r="K936">
        <v>0.37</v>
      </c>
      <c r="L936" s="1">
        <v>6223.33</v>
      </c>
      <c r="M936" s="1">
        <v>2335.41</v>
      </c>
      <c r="N936" s="1">
        <v>34.43</v>
      </c>
      <c r="O936" t="s">
        <v>57</v>
      </c>
      <c r="P936">
        <v>4</v>
      </c>
      <c r="Q936" t="b">
        <v>0</v>
      </c>
      <c r="R936" t="s">
        <v>18</v>
      </c>
      <c r="S936">
        <v>9</v>
      </c>
      <c r="T936" t="e">
        <f>IF(#REF!&lt;=25, "Young Age", IF(#REF!&lt;=40, "Mid Age", "Old Age"))</f>
        <v>#REF!</v>
      </c>
      <c r="U936" t="str">
        <f t="shared" si="14"/>
        <v>Over Delayed</v>
      </c>
    </row>
    <row r="937" spans="1:21" x14ac:dyDescent="0.35">
      <c r="A937" t="s">
        <v>2017</v>
      </c>
      <c r="B937" s="13">
        <v>44901</v>
      </c>
      <c r="C937" t="s">
        <v>2018</v>
      </c>
      <c r="D937" t="s">
        <v>47</v>
      </c>
      <c r="E937" t="s">
        <v>53</v>
      </c>
      <c r="F937" t="s">
        <v>170</v>
      </c>
      <c r="G937" t="s">
        <v>41</v>
      </c>
      <c r="H937" t="s">
        <v>85</v>
      </c>
      <c r="I937">
        <v>2</v>
      </c>
      <c r="J937" s="1">
        <v>393.2</v>
      </c>
      <c r="K937">
        <v>0.22</v>
      </c>
      <c r="L937" s="1">
        <v>537.64</v>
      </c>
      <c r="M937" s="1">
        <v>210.9</v>
      </c>
      <c r="N937" s="1">
        <v>48.93</v>
      </c>
      <c r="O937" t="s">
        <v>43</v>
      </c>
      <c r="P937" t="s">
        <v>2149</v>
      </c>
      <c r="Q937" t="b">
        <v>1</v>
      </c>
      <c r="R937" t="s">
        <v>9</v>
      </c>
      <c r="S937">
        <v>4</v>
      </c>
      <c r="T937" t="e">
        <f>IF(#REF!&lt;=25, "Young Age", IF(#REF!&lt;=40, "Mid Age", "Old Age"))</f>
        <v>#REF!</v>
      </c>
      <c r="U937" t="str">
        <f t="shared" si="14"/>
        <v>Okay</v>
      </c>
    </row>
    <row r="938" spans="1:21" x14ac:dyDescent="0.35">
      <c r="A938" t="s">
        <v>1579</v>
      </c>
      <c r="B938" s="13">
        <v>43963</v>
      </c>
      <c r="C938" t="s">
        <v>1580</v>
      </c>
      <c r="D938" t="s">
        <v>3</v>
      </c>
      <c r="E938" t="s">
        <v>61</v>
      </c>
      <c r="F938" t="s">
        <v>222</v>
      </c>
      <c r="G938" t="s">
        <v>124</v>
      </c>
      <c r="H938" t="s">
        <v>413</v>
      </c>
      <c r="I938">
        <v>5</v>
      </c>
      <c r="J938" s="1">
        <v>6852.57</v>
      </c>
      <c r="K938">
        <v>0.19</v>
      </c>
      <c r="L938" s="1">
        <v>30208.26</v>
      </c>
      <c r="M938" s="1">
        <v>8215.56</v>
      </c>
      <c r="N938" s="1">
        <v>100.86</v>
      </c>
      <c r="O938" t="s">
        <v>30</v>
      </c>
      <c r="P938">
        <v>5</v>
      </c>
      <c r="Q938" t="b">
        <v>0</v>
      </c>
      <c r="R938" t="s">
        <v>18</v>
      </c>
      <c r="S938">
        <v>10</v>
      </c>
      <c r="T938" t="e">
        <f>IF(#REF!&lt;=25, "Young Age", IF(#REF!&lt;=40, "Mid Age", "Old Age"))</f>
        <v>#REF!</v>
      </c>
      <c r="U938" t="str">
        <f t="shared" si="14"/>
        <v>Over Delayed</v>
      </c>
    </row>
    <row r="939" spans="1:21" x14ac:dyDescent="0.35">
      <c r="A939" t="s">
        <v>2019</v>
      </c>
      <c r="B939" s="13">
        <v>44262</v>
      </c>
      <c r="C939" t="s">
        <v>2020</v>
      </c>
      <c r="D939" t="s">
        <v>13</v>
      </c>
      <c r="E939" t="s">
        <v>61</v>
      </c>
      <c r="F939" t="s">
        <v>271</v>
      </c>
      <c r="G939" t="s">
        <v>124</v>
      </c>
      <c r="H939" t="s">
        <v>413</v>
      </c>
      <c r="I939">
        <v>9</v>
      </c>
      <c r="J939" s="1">
        <v>6483.35</v>
      </c>
      <c r="K939">
        <v>0.23</v>
      </c>
      <c r="L939" s="1">
        <v>52222.52</v>
      </c>
      <c r="M939" s="1">
        <v>13820.97</v>
      </c>
      <c r="N939" s="1">
        <v>74.83</v>
      </c>
      <c r="O939" t="s">
        <v>57</v>
      </c>
      <c r="P939">
        <v>4</v>
      </c>
      <c r="Q939" t="b">
        <v>0</v>
      </c>
      <c r="R939" t="s">
        <v>18</v>
      </c>
      <c r="S939">
        <v>2</v>
      </c>
      <c r="T939" t="e">
        <f>IF(#REF!&lt;=25, "Young Age", IF(#REF!&lt;=40, "Mid Age", "Old Age"))</f>
        <v>#REF!</v>
      </c>
      <c r="U939" t="str">
        <f t="shared" si="14"/>
        <v>Okay</v>
      </c>
    </row>
    <row r="940" spans="1:21" x14ac:dyDescent="0.35">
      <c r="A940" t="s">
        <v>2021</v>
      </c>
      <c r="B940" s="13">
        <v>45365</v>
      </c>
      <c r="C940" t="s">
        <v>2022</v>
      </c>
      <c r="D940" t="s">
        <v>13</v>
      </c>
      <c r="E940" t="s">
        <v>53</v>
      </c>
      <c r="F940" t="s">
        <v>114</v>
      </c>
      <c r="G940" t="s">
        <v>55</v>
      </c>
      <c r="H940" t="s">
        <v>110</v>
      </c>
      <c r="I940">
        <v>2</v>
      </c>
      <c r="J940" s="1">
        <v>1249.08</v>
      </c>
      <c r="K940">
        <v>0.4</v>
      </c>
      <c r="L940" s="1">
        <v>2055.62</v>
      </c>
      <c r="M940" s="1">
        <v>916.26</v>
      </c>
      <c r="N940" s="1">
        <v>43.18</v>
      </c>
      <c r="O940" t="s">
        <v>30</v>
      </c>
      <c r="P940" t="s">
        <v>2149</v>
      </c>
      <c r="Q940" t="b">
        <v>0</v>
      </c>
      <c r="R940" t="s">
        <v>18</v>
      </c>
      <c r="S940">
        <v>8</v>
      </c>
      <c r="T940" t="e">
        <f>IF(#REF!&lt;=25, "Young Age", IF(#REF!&lt;=40, "Mid Age", "Old Age"))</f>
        <v>#REF!</v>
      </c>
      <c r="U940" t="str">
        <f t="shared" si="14"/>
        <v>Over Delayed</v>
      </c>
    </row>
    <row r="941" spans="1:21" x14ac:dyDescent="0.35">
      <c r="A941" t="s">
        <v>2023</v>
      </c>
      <c r="B941" s="13">
        <v>44057</v>
      </c>
      <c r="C941" t="s">
        <v>2024</v>
      </c>
      <c r="D941" t="s">
        <v>47</v>
      </c>
      <c r="E941" t="s">
        <v>61</v>
      </c>
      <c r="F941" t="s">
        <v>104</v>
      </c>
      <c r="G941" t="s">
        <v>16</v>
      </c>
      <c r="H941" t="s">
        <v>209</v>
      </c>
      <c r="I941">
        <v>2</v>
      </c>
      <c r="J941" s="1">
        <v>1236.47</v>
      </c>
      <c r="K941">
        <v>0.14000000000000001</v>
      </c>
      <c r="L941" s="1">
        <v>2416.41</v>
      </c>
      <c r="M941" s="1">
        <v>1007.86</v>
      </c>
      <c r="N941" s="1">
        <v>85.88</v>
      </c>
      <c r="O941" t="s">
        <v>57</v>
      </c>
      <c r="P941">
        <v>3</v>
      </c>
      <c r="Q941" t="b">
        <v>0</v>
      </c>
      <c r="R941" t="s">
        <v>18</v>
      </c>
      <c r="S941">
        <v>8</v>
      </c>
      <c r="T941" t="e">
        <f>IF(#REF!&lt;=25, "Young Age", IF(#REF!&lt;=40, "Mid Age", "Old Age"))</f>
        <v>#REF!</v>
      </c>
      <c r="U941" t="str">
        <f t="shared" si="14"/>
        <v>Over Delayed</v>
      </c>
    </row>
    <row r="942" spans="1:21" x14ac:dyDescent="0.35">
      <c r="A942" t="s">
        <v>2025</v>
      </c>
      <c r="B942" s="13">
        <v>44389</v>
      </c>
      <c r="C942" t="s">
        <v>2026</v>
      </c>
      <c r="D942" t="s">
        <v>13</v>
      </c>
      <c r="E942" t="s">
        <v>14</v>
      </c>
      <c r="F942" t="s">
        <v>28</v>
      </c>
      <c r="G942" t="s">
        <v>16</v>
      </c>
      <c r="H942" t="s">
        <v>557</v>
      </c>
      <c r="I942">
        <v>7</v>
      </c>
      <c r="J942" s="1">
        <v>1236.43</v>
      </c>
      <c r="K942">
        <v>0.04</v>
      </c>
      <c r="L942" s="1">
        <v>10957.9</v>
      </c>
      <c r="M942" s="1">
        <v>4556.58</v>
      </c>
      <c r="N942" s="1">
        <v>72.78</v>
      </c>
      <c r="O942" t="s">
        <v>8</v>
      </c>
      <c r="P942">
        <v>2</v>
      </c>
      <c r="Q942" t="b">
        <v>0</v>
      </c>
      <c r="R942" t="s">
        <v>18</v>
      </c>
      <c r="S942">
        <v>7</v>
      </c>
      <c r="T942" t="e">
        <f>IF(#REF!&lt;=25, "Young Age", IF(#REF!&lt;=40, "Mid Age", "Old Age"))</f>
        <v>#REF!</v>
      </c>
      <c r="U942" t="str">
        <f t="shared" si="14"/>
        <v>Delayed</v>
      </c>
    </row>
    <row r="943" spans="1:21" x14ac:dyDescent="0.35">
      <c r="A943" t="s">
        <v>2027</v>
      </c>
      <c r="B943" s="13">
        <v>44555</v>
      </c>
      <c r="C943" t="s">
        <v>2028</v>
      </c>
      <c r="D943" t="s">
        <v>47</v>
      </c>
      <c r="E943" t="s">
        <v>14</v>
      </c>
      <c r="F943" t="s">
        <v>15</v>
      </c>
      <c r="G943" t="s">
        <v>124</v>
      </c>
      <c r="H943" t="s">
        <v>125</v>
      </c>
      <c r="I943">
        <v>5</v>
      </c>
      <c r="J943" s="1">
        <v>7179.94</v>
      </c>
      <c r="K943">
        <v>0.31</v>
      </c>
      <c r="L943" s="1">
        <v>21400.720000000001</v>
      </c>
      <c r="M943" s="1">
        <v>2403.1999999999998</v>
      </c>
      <c r="N943" s="1">
        <v>65.86</v>
      </c>
      <c r="O943" t="s">
        <v>8</v>
      </c>
      <c r="P943">
        <v>2</v>
      </c>
      <c r="Q943" t="b">
        <v>0</v>
      </c>
      <c r="R943" t="s">
        <v>18</v>
      </c>
      <c r="S943">
        <v>8</v>
      </c>
      <c r="T943" t="e">
        <f>IF(#REF!&lt;=25, "Young Age", IF(#REF!&lt;=40, "Mid Age", "Old Age"))</f>
        <v>#REF!</v>
      </c>
      <c r="U943" t="str">
        <f t="shared" si="14"/>
        <v>Over Delayed</v>
      </c>
    </row>
    <row r="944" spans="1:21" x14ac:dyDescent="0.35">
      <c r="A944" t="s">
        <v>2029</v>
      </c>
      <c r="B944" s="13">
        <v>45249</v>
      </c>
      <c r="C944" t="s">
        <v>2030</v>
      </c>
      <c r="D944" t="s">
        <v>13</v>
      </c>
      <c r="E944" t="s">
        <v>61</v>
      </c>
      <c r="F944" t="s">
        <v>222</v>
      </c>
      <c r="G944" t="s">
        <v>55</v>
      </c>
      <c r="H944" t="s">
        <v>110</v>
      </c>
      <c r="I944">
        <v>8</v>
      </c>
      <c r="J944" s="1">
        <v>2288.2600000000002</v>
      </c>
      <c r="K944">
        <v>0.22</v>
      </c>
      <c r="L944" s="1">
        <v>12023.58</v>
      </c>
      <c r="M944" s="1">
        <v>4024.97</v>
      </c>
      <c r="N944" s="1">
        <v>89.83</v>
      </c>
      <c r="O944" t="s">
        <v>8</v>
      </c>
      <c r="P944">
        <v>2</v>
      </c>
      <c r="Q944" t="b">
        <v>0</v>
      </c>
      <c r="R944" t="s">
        <v>18</v>
      </c>
      <c r="S944">
        <v>1</v>
      </c>
      <c r="T944" t="e">
        <f>IF(#REF!&lt;=25, "Young Age", IF(#REF!&lt;=40, "Mid Age", "Old Age"))</f>
        <v>#REF!</v>
      </c>
      <c r="U944" t="str">
        <f t="shared" si="14"/>
        <v>Okay</v>
      </c>
    </row>
    <row r="945" spans="1:21" x14ac:dyDescent="0.35">
      <c r="A945" t="s">
        <v>2031</v>
      </c>
      <c r="B945" s="13">
        <v>44779</v>
      </c>
      <c r="C945" t="s">
        <v>2032</v>
      </c>
      <c r="D945" t="s">
        <v>13</v>
      </c>
      <c r="E945" t="s">
        <v>61</v>
      </c>
      <c r="F945" t="s">
        <v>104</v>
      </c>
      <c r="G945" t="s">
        <v>41</v>
      </c>
      <c r="H945" t="s">
        <v>42</v>
      </c>
      <c r="I945">
        <v>4</v>
      </c>
      <c r="J945" s="1">
        <v>529.17999999999995</v>
      </c>
      <c r="K945">
        <v>0.37</v>
      </c>
      <c r="L945" s="1">
        <v>1721.22</v>
      </c>
      <c r="M945" s="1">
        <v>611.14</v>
      </c>
      <c r="N945" s="1">
        <v>96.64</v>
      </c>
      <c r="O945" t="s">
        <v>57</v>
      </c>
      <c r="P945">
        <v>5</v>
      </c>
      <c r="Q945" t="b">
        <v>0</v>
      </c>
      <c r="R945" t="s">
        <v>18</v>
      </c>
      <c r="S945">
        <v>8</v>
      </c>
      <c r="T945" t="e">
        <f>IF(#REF!&lt;=25, "Young Age", IF(#REF!&lt;=40, "Mid Age", "Old Age"))</f>
        <v>#REF!</v>
      </c>
      <c r="U945" t="str">
        <f t="shared" si="14"/>
        <v>Over Delayed</v>
      </c>
    </row>
    <row r="946" spans="1:21" x14ac:dyDescent="0.35">
      <c r="A946" t="s">
        <v>2033</v>
      </c>
      <c r="B946" s="13">
        <v>45416</v>
      </c>
      <c r="C946" t="s">
        <v>2034</v>
      </c>
      <c r="D946" t="s">
        <v>3</v>
      </c>
      <c r="E946" t="s">
        <v>4</v>
      </c>
      <c r="F946" t="s">
        <v>48</v>
      </c>
      <c r="G946" t="s">
        <v>6</v>
      </c>
      <c r="H946" t="s">
        <v>35</v>
      </c>
      <c r="I946">
        <v>4</v>
      </c>
      <c r="J946" s="1">
        <v>413.23</v>
      </c>
      <c r="K946">
        <v>0.16</v>
      </c>
      <c r="L946" s="1">
        <v>2226.94</v>
      </c>
      <c r="M946" s="1">
        <v>97.94</v>
      </c>
      <c r="N946" s="1">
        <v>29.46</v>
      </c>
      <c r="O946" t="s">
        <v>30</v>
      </c>
      <c r="P946">
        <v>4</v>
      </c>
      <c r="Q946" t="b">
        <v>0</v>
      </c>
      <c r="R946" t="s">
        <v>18</v>
      </c>
      <c r="S946">
        <v>9</v>
      </c>
      <c r="T946" t="e">
        <f>IF(#REF!&lt;=25, "Young Age", IF(#REF!&lt;=40, "Mid Age", "Old Age"))</f>
        <v>#REF!</v>
      </c>
      <c r="U946" t="str">
        <f t="shared" si="14"/>
        <v>Over Delayed</v>
      </c>
    </row>
    <row r="947" spans="1:21" x14ac:dyDescent="0.35">
      <c r="A947" t="s">
        <v>2035</v>
      </c>
      <c r="B947" s="13">
        <v>44545</v>
      </c>
      <c r="C947" t="s">
        <v>2036</v>
      </c>
      <c r="D947" t="s">
        <v>3</v>
      </c>
      <c r="E947" t="s">
        <v>61</v>
      </c>
      <c r="F947" t="s">
        <v>104</v>
      </c>
      <c r="G947" t="s">
        <v>6</v>
      </c>
      <c r="H947" t="s">
        <v>374</v>
      </c>
      <c r="I947">
        <v>5</v>
      </c>
      <c r="J947" s="1">
        <v>273.75</v>
      </c>
      <c r="K947">
        <v>0.05</v>
      </c>
      <c r="L947" s="1">
        <v>1113.01</v>
      </c>
      <c r="M947" s="1">
        <v>84.56</v>
      </c>
      <c r="N947" s="1">
        <v>81.92</v>
      </c>
      <c r="O947" t="s">
        <v>8</v>
      </c>
      <c r="P947">
        <v>1</v>
      </c>
      <c r="Q947" t="b">
        <v>0</v>
      </c>
      <c r="R947" t="s">
        <v>175</v>
      </c>
      <c r="S947">
        <v>5</v>
      </c>
      <c r="T947" t="e">
        <f>IF(#REF!&lt;=25, "Young Age", IF(#REF!&lt;=40, "Mid Age", "Old Age"))</f>
        <v>#REF!</v>
      </c>
      <c r="U947" t="str">
        <f t="shared" si="14"/>
        <v>Delayed</v>
      </c>
    </row>
    <row r="948" spans="1:21" x14ac:dyDescent="0.35">
      <c r="A948" t="s">
        <v>2037</v>
      </c>
      <c r="B948" s="13">
        <v>44834</v>
      </c>
      <c r="C948" t="s">
        <v>2038</v>
      </c>
      <c r="D948" t="s">
        <v>47</v>
      </c>
      <c r="E948" t="s">
        <v>53</v>
      </c>
      <c r="F948" t="s">
        <v>114</v>
      </c>
      <c r="G948" t="s">
        <v>41</v>
      </c>
      <c r="H948" t="s">
        <v>42</v>
      </c>
      <c r="I948">
        <v>4</v>
      </c>
      <c r="J948" s="1">
        <v>288.41000000000003</v>
      </c>
      <c r="K948">
        <v>0.11</v>
      </c>
      <c r="L948" s="1">
        <v>1085.19</v>
      </c>
      <c r="M948" s="1">
        <v>430.86</v>
      </c>
      <c r="N948" s="1">
        <v>39.44</v>
      </c>
      <c r="O948" t="s">
        <v>8</v>
      </c>
      <c r="P948">
        <v>5</v>
      </c>
      <c r="Q948" t="b">
        <v>1</v>
      </c>
      <c r="R948" t="s">
        <v>9</v>
      </c>
      <c r="S948">
        <v>1</v>
      </c>
      <c r="T948" t="e">
        <f>IF(#REF!&lt;=25, "Young Age", IF(#REF!&lt;=40, "Mid Age", "Old Age"))</f>
        <v>#REF!</v>
      </c>
      <c r="U948" t="str">
        <f t="shared" si="14"/>
        <v>Okay</v>
      </c>
    </row>
    <row r="949" spans="1:21" x14ac:dyDescent="0.35">
      <c r="A949" t="s">
        <v>2039</v>
      </c>
      <c r="B949" s="13">
        <v>45330</v>
      </c>
      <c r="C949" t="s">
        <v>2040</v>
      </c>
      <c r="D949" t="s">
        <v>13</v>
      </c>
      <c r="E949" t="s">
        <v>61</v>
      </c>
      <c r="F949" t="s">
        <v>271</v>
      </c>
      <c r="G949" t="s">
        <v>41</v>
      </c>
      <c r="H949" t="s">
        <v>85</v>
      </c>
      <c r="I949">
        <v>5</v>
      </c>
      <c r="J949" s="1">
        <v>219.86</v>
      </c>
      <c r="K949">
        <v>0.26</v>
      </c>
      <c r="L949" s="1">
        <v>937.39</v>
      </c>
      <c r="M949" s="1">
        <v>344.23</v>
      </c>
      <c r="N949" s="1">
        <v>95.23</v>
      </c>
      <c r="O949" t="s">
        <v>43</v>
      </c>
      <c r="P949">
        <v>1</v>
      </c>
      <c r="Q949" t="b">
        <v>0</v>
      </c>
      <c r="R949" t="s">
        <v>18</v>
      </c>
      <c r="S949">
        <v>10</v>
      </c>
      <c r="T949" t="e">
        <f>IF(#REF!&lt;=25, "Young Age", IF(#REF!&lt;=40, "Mid Age", "Old Age"))</f>
        <v>#REF!</v>
      </c>
      <c r="U949" t="str">
        <f t="shared" si="14"/>
        <v>Over Delayed</v>
      </c>
    </row>
    <row r="950" spans="1:21" x14ac:dyDescent="0.35">
      <c r="A950" t="s">
        <v>2041</v>
      </c>
      <c r="B950" s="13">
        <v>45456</v>
      </c>
      <c r="C950" t="s">
        <v>2042</v>
      </c>
      <c r="D950" t="s">
        <v>13</v>
      </c>
      <c r="E950" t="s">
        <v>61</v>
      </c>
      <c r="F950" t="s">
        <v>104</v>
      </c>
      <c r="G950" t="s">
        <v>105</v>
      </c>
      <c r="H950" t="s">
        <v>120</v>
      </c>
      <c r="I950">
        <v>3</v>
      </c>
      <c r="J950" s="1">
        <v>45977.54</v>
      </c>
      <c r="K950">
        <v>0.4</v>
      </c>
      <c r="L950" s="1">
        <v>157351.1</v>
      </c>
      <c r="M950" s="1">
        <v>16766.5</v>
      </c>
      <c r="N950" s="1">
        <v>89.69</v>
      </c>
      <c r="O950" t="s">
        <v>43</v>
      </c>
      <c r="P950">
        <v>5</v>
      </c>
      <c r="Q950" t="b">
        <v>0</v>
      </c>
      <c r="R950" t="s">
        <v>18</v>
      </c>
      <c r="S950">
        <v>9</v>
      </c>
      <c r="T950" t="e">
        <f>IF(#REF!&lt;=25, "Young Age", IF(#REF!&lt;=40, "Mid Age", "Old Age"))</f>
        <v>#REF!</v>
      </c>
      <c r="U950" t="str">
        <f t="shared" si="14"/>
        <v>Over Delayed</v>
      </c>
    </row>
    <row r="951" spans="1:21" x14ac:dyDescent="0.35">
      <c r="A951" t="s">
        <v>2043</v>
      </c>
      <c r="B951" s="13">
        <v>43935</v>
      </c>
      <c r="C951" t="s">
        <v>2044</v>
      </c>
      <c r="D951" t="s">
        <v>3</v>
      </c>
      <c r="E951" t="s">
        <v>89</v>
      </c>
      <c r="F951" t="s">
        <v>99</v>
      </c>
      <c r="G951" t="s">
        <v>124</v>
      </c>
      <c r="H951" t="s">
        <v>125</v>
      </c>
      <c r="I951">
        <v>4</v>
      </c>
      <c r="J951" s="1">
        <v>11868.91</v>
      </c>
      <c r="K951">
        <v>0.19</v>
      </c>
      <c r="L951" s="1">
        <v>43004.45</v>
      </c>
      <c r="M951" s="1">
        <v>13078.71</v>
      </c>
      <c r="N951" s="1">
        <v>70.61</v>
      </c>
      <c r="O951" t="s">
        <v>30</v>
      </c>
      <c r="P951">
        <v>3</v>
      </c>
      <c r="Q951" t="b">
        <v>0</v>
      </c>
      <c r="R951" t="s">
        <v>18</v>
      </c>
      <c r="S951">
        <v>6</v>
      </c>
      <c r="T951" t="e">
        <f>IF(#REF!&lt;=25, "Young Age", IF(#REF!&lt;=40, "Mid Age", "Old Age"))</f>
        <v>#REF!</v>
      </c>
      <c r="U951" t="str">
        <f t="shared" si="14"/>
        <v>Delayed</v>
      </c>
    </row>
    <row r="952" spans="1:21" x14ac:dyDescent="0.35">
      <c r="A952" t="s">
        <v>2045</v>
      </c>
      <c r="B952" s="13">
        <v>44520</v>
      </c>
      <c r="C952" t="s">
        <v>2046</v>
      </c>
      <c r="D952" t="s">
        <v>3</v>
      </c>
      <c r="E952" t="s">
        <v>61</v>
      </c>
      <c r="F952" t="s">
        <v>104</v>
      </c>
      <c r="G952" t="s">
        <v>105</v>
      </c>
      <c r="H952" t="s">
        <v>438</v>
      </c>
      <c r="I952">
        <v>8</v>
      </c>
      <c r="J952" s="1">
        <v>72878.210000000006</v>
      </c>
      <c r="K952">
        <v>0.06</v>
      </c>
      <c r="L952" s="1">
        <v>377991.95</v>
      </c>
      <c r="M952" s="1">
        <v>53581.94</v>
      </c>
      <c r="N952" s="1">
        <v>69.63</v>
      </c>
      <c r="O952" t="s">
        <v>49</v>
      </c>
      <c r="P952">
        <v>3</v>
      </c>
      <c r="Q952" t="b">
        <v>0</v>
      </c>
      <c r="R952" t="s">
        <v>18</v>
      </c>
      <c r="S952">
        <v>7</v>
      </c>
      <c r="T952" t="e">
        <f>IF(#REF!&lt;=25, "Young Age", IF(#REF!&lt;=40, "Mid Age", "Old Age"))</f>
        <v>#REF!</v>
      </c>
      <c r="U952" t="str">
        <f t="shared" si="14"/>
        <v>Delayed</v>
      </c>
    </row>
    <row r="953" spans="1:21" x14ac:dyDescent="0.35">
      <c r="A953" t="s">
        <v>2047</v>
      </c>
      <c r="B953" s="13">
        <v>43939</v>
      </c>
      <c r="C953" t="s">
        <v>2048</v>
      </c>
      <c r="D953" t="s">
        <v>13</v>
      </c>
      <c r="E953" t="s">
        <v>4</v>
      </c>
      <c r="F953" t="s">
        <v>34</v>
      </c>
      <c r="G953" t="s">
        <v>16</v>
      </c>
      <c r="H953" t="s">
        <v>17</v>
      </c>
      <c r="I953">
        <v>8</v>
      </c>
      <c r="J953" s="1">
        <v>336.17</v>
      </c>
      <c r="K953">
        <v>0.18</v>
      </c>
      <c r="L953" s="1">
        <v>2459.79</v>
      </c>
      <c r="M953" s="1">
        <v>1286.21</v>
      </c>
      <c r="N953" s="1">
        <v>63.3</v>
      </c>
      <c r="O953" t="s">
        <v>8</v>
      </c>
      <c r="P953">
        <v>4</v>
      </c>
      <c r="Q953" t="b">
        <v>0</v>
      </c>
      <c r="R953" t="s">
        <v>18</v>
      </c>
      <c r="S953">
        <v>10</v>
      </c>
      <c r="T953" t="e">
        <f>IF(#REF!&lt;=25, "Young Age", IF(#REF!&lt;=40, "Mid Age", "Old Age"))</f>
        <v>#REF!</v>
      </c>
      <c r="U953" t="str">
        <f t="shared" si="14"/>
        <v>Over Delayed</v>
      </c>
    </row>
    <row r="954" spans="1:21" x14ac:dyDescent="0.35">
      <c r="A954" t="s">
        <v>2049</v>
      </c>
      <c r="B954" s="13">
        <v>43856</v>
      </c>
      <c r="C954" t="s">
        <v>2050</v>
      </c>
      <c r="D954" t="s">
        <v>3</v>
      </c>
      <c r="E954" t="s">
        <v>61</v>
      </c>
      <c r="F954" t="s">
        <v>222</v>
      </c>
      <c r="G954" t="s">
        <v>124</v>
      </c>
      <c r="H954" t="s">
        <v>139</v>
      </c>
      <c r="J954" s="1">
        <v>5929.85</v>
      </c>
      <c r="K954">
        <v>0</v>
      </c>
      <c r="L954" s="1">
        <v>4745.09</v>
      </c>
      <c r="M954" s="1">
        <v>1518.74</v>
      </c>
      <c r="N954" s="1">
        <v>78.48</v>
      </c>
      <c r="O954" t="s">
        <v>49</v>
      </c>
      <c r="P954">
        <v>5</v>
      </c>
      <c r="Q954" t="b">
        <v>0</v>
      </c>
      <c r="R954" t="s">
        <v>18</v>
      </c>
      <c r="S954">
        <v>7</v>
      </c>
      <c r="T954" t="e">
        <f>IF(#REF!&lt;=25, "Young Age", IF(#REF!&lt;=40, "Mid Age", "Old Age"))</f>
        <v>#REF!</v>
      </c>
      <c r="U954" t="str">
        <f t="shared" si="14"/>
        <v>Delayed</v>
      </c>
    </row>
    <row r="955" spans="1:21" x14ac:dyDescent="0.35">
      <c r="A955" t="s">
        <v>2051</v>
      </c>
      <c r="B955" s="13">
        <v>44568</v>
      </c>
      <c r="C955" t="s">
        <v>2052</v>
      </c>
      <c r="D955" t="s">
        <v>47</v>
      </c>
      <c r="E955" t="s">
        <v>89</v>
      </c>
      <c r="F955" t="s">
        <v>119</v>
      </c>
      <c r="G955" t="s">
        <v>105</v>
      </c>
      <c r="H955" t="s">
        <v>106</v>
      </c>
      <c r="I955">
        <v>5</v>
      </c>
      <c r="J955" s="1">
        <v>67069.95</v>
      </c>
      <c r="K955">
        <v>0.35</v>
      </c>
      <c r="L955" s="1">
        <v>187015.17</v>
      </c>
      <c r="M955" s="1">
        <v>19234.099999999999</v>
      </c>
      <c r="N955" s="1">
        <v>53.96</v>
      </c>
      <c r="O955" t="s">
        <v>30</v>
      </c>
      <c r="P955">
        <v>2</v>
      </c>
      <c r="Q955" t="b">
        <v>0</v>
      </c>
      <c r="R955" t="s">
        <v>37</v>
      </c>
      <c r="S955">
        <v>6</v>
      </c>
      <c r="T955" t="e">
        <f>IF(#REF!&lt;=25, "Young Age", IF(#REF!&lt;=40, "Mid Age", "Old Age"))</f>
        <v>#REF!</v>
      </c>
      <c r="U955" t="str">
        <f t="shared" si="14"/>
        <v>Delayed</v>
      </c>
    </row>
    <row r="956" spans="1:21" x14ac:dyDescent="0.35">
      <c r="A956" t="s">
        <v>2053</v>
      </c>
      <c r="B956" s="13">
        <v>44074</v>
      </c>
      <c r="C956" t="s">
        <v>2054</v>
      </c>
      <c r="D956" t="s">
        <v>3</v>
      </c>
      <c r="E956" t="s">
        <v>61</v>
      </c>
      <c r="F956" t="s">
        <v>104</v>
      </c>
      <c r="G956" t="s">
        <v>6</v>
      </c>
      <c r="H956" t="s">
        <v>7</v>
      </c>
      <c r="I956">
        <v>1</v>
      </c>
      <c r="J956" s="1">
        <v>295.3</v>
      </c>
      <c r="K956">
        <v>0.1</v>
      </c>
      <c r="L956" s="1">
        <v>375.59</v>
      </c>
      <c r="M956" s="1">
        <v>17.329999999999998</v>
      </c>
      <c r="N956" s="1">
        <v>91.95</v>
      </c>
      <c r="O956" t="s">
        <v>49</v>
      </c>
      <c r="P956">
        <v>5</v>
      </c>
      <c r="Q956" t="b">
        <v>0</v>
      </c>
      <c r="R956" t="s">
        <v>18</v>
      </c>
      <c r="S956">
        <v>9</v>
      </c>
      <c r="T956" t="e">
        <f>IF(#REF!&lt;=25, "Young Age", IF(#REF!&lt;=40, "Mid Age", "Old Age"))</f>
        <v>#REF!</v>
      </c>
      <c r="U956" t="str">
        <f t="shared" si="14"/>
        <v>Over Delayed</v>
      </c>
    </row>
    <row r="957" spans="1:21" x14ac:dyDescent="0.35">
      <c r="A957" t="s">
        <v>2055</v>
      </c>
      <c r="B957" s="13">
        <v>45625</v>
      </c>
      <c r="C957" t="s">
        <v>2056</v>
      </c>
      <c r="D957" t="s">
        <v>13</v>
      </c>
      <c r="E957" t="s">
        <v>61</v>
      </c>
      <c r="F957" t="s">
        <v>271</v>
      </c>
      <c r="G957" t="s">
        <v>105</v>
      </c>
      <c r="H957" t="s">
        <v>106</v>
      </c>
      <c r="I957">
        <v>5</v>
      </c>
      <c r="J957" s="1">
        <v>60589.34</v>
      </c>
      <c r="K957">
        <v>0</v>
      </c>
      <c r="L957" s="1">
        <v>289044.77</v>
      </c>
      <c r="M957" s="1">
        <v>32628.880000000001</v>
      </c>
      <c r="N957" s="1">
        <v>117.75</v>
      </c>
      <c r="O957" t="s">
        <v>43</v>
      </c>
      <c r="P957">
        <v>1</v>
      </c>
      <c r="Q957" t="b">
        <v>0</v>
      </c>
      <c r="R957" t="s">
        <v>18</v>
      </c>
      <c r="S957">
        <v>6</v>
      </c>
      <c r="T957" t="e">
        <f>IF(#REF!&lt;=25, "Young Age", IF(#REF!&lt;=40, "Mid Age", "Old Age"))</f>
        <v>#REF!</v>
      </c>
      <c r="U957" t="str">
        <f t="shared" si="14"/>
        <v>Delayed</v>
      </c>
    </row>
    <row r="958" spans="1:21" x14ac:dyDescent="0.35">
      <c r="A958" t="s">
        <v>2057</v>
      </c>
      <c r="B958" s="13">
        <v>44929</v>
      </c>
      <c r="C958" t="s">
        <v>2058</v>
      </c>
      <c r="D958" t="s">
        <v>13</v>
      </c>
      <c r="E958" t="s">
        <v>53</v>
      </c>
      <c r="F958" t="s">
        <v>79</v>
      </c>
      <c r="G958" t="s">
        <v>16</v>
      </c>
      <c r="H958" t="s">
        <v>209</v>
      </c>
      <c r="I958">
        <v>9</v>
      </c>
      <c r="J958" s="1">
        <v>2041.21</v>
      </c>
      <c r="K958">
        <v>0.22</v>
      </c>
      <c r="L958" s="1">
        <v>13435.71</v>
      </c>
      <c r="M958" s="1">
        <v>8442.25</v>
      </c>
      <c r="N958" s="1">
        <v>45.75</v>
      </c>
      <c r="O958" t="s">
        <v>36</v>
      </c>
      <c r="P958">
        <v>3</v>
      </c>
      <c r="Q958" t="b">
        <v>0</v>
      </c>
      <c r="R958" t="s">
        <v>63</v>
      </c>
      <c r="S958">
        <v>1</v>
      </c>
      <c r="T958" t="e">
        <f>IF(#REF!&lt;=25, "Young Age", IF(#REF!&lt;=40, "Mid Age", "Old Age"))</f>
        <v>#REF!</v>
      </c>
      <c r="U958" t="str">
        <f t="shared" si="14"/>
        <v>Okay</v>
      </c>
    </row>
    <row r="959" spans="1:21" x14ac:dyDescent="0.35">
      <c r="A959" t="s">
        <v>2059</v>
      </c>
      <c r="B959" s="13">
        <v>44474</v>
      </c>
      <c r="C959" t="s">
        <v>2060</v>
      </c>
      <c r="D959" t="s">
        <v>13</v>
      </c>
      <c r="E959" t="s">
        <v>53</v>
      </c>
      <c r="F959" t="s">
        <v>114</v>
      </c>
      <c r="G959" t="s">
        <v>55</v>
      </c>
      <c r="H959" t="s">
        <v>100</v>
      </c>
      <c r="I959">
        <v>2</v>
      </c>
      <c r="J959" s="1">
        <v>469.65</v>
      </c>
      <c r="K959">
        <v>0.12</v>
      </c>
      <c r="L959" s="1">
        <v>775.74</v>
      </c>
      <c r="M959" s="1">
        <v>185.8</v>
      </c>
      <c r="N959" s="1">
        <v>32.03</v>
      </c>
      <c r="O959" t="s">
        <v>43</v>
      </c>
      <c r="P959">
        <v>1</v>
      </c>
      <c r="Q959" t="b">
        <v>1</v>
      </c>
      <c r="R959" t="s">
        <v>9</v>
      </c>
      <c r="S959">
        <v>3</v>
      </c>
      <c r="T959" t="e">
        <f>IF(#REF!&lt;=25, "Young Age", IF(#REF!&lt;=40, "Mid Age", "Old Age"))</f>
        <v>#REF!</v>
      </c>
      <c r="U959" t="str">
        <f t="shared" si="14"/>
        <v>Okay</v>
      </c>
    </row>
    <row r="960" spans="1:21" x14ac:dyDescent="0.35">
      <c r="A960" t="s">
        <v>2061</v>
      </c>
      <c r="B960" s="13">
        <v>45524</v>
      </c>
      <c r="C960" t="s">
        <v>2062</v>
      </c>
      <c r="D960" t="s">
        <v>3</v>
      </c>
      <c r="E960" t="s">
        <v>89</v>
      </c>
      <c r="F960" t="s">
        <v>90</v>
      </c>
      <c r="G960" t="s">
        <v>6</v>
      </c>
      <c r="H960" t="s">
        <v>35</v>
      </c>
      <c r="I960">
        <v>3</v>
      </c>
      <c r="J960" s="1">
        <v>408.26</v>
      </c>
      <c r="K960">
        <v>0.03</v>
      </c>
      <c r="L960" s="1">
        <v>1632.98</v>
      </c>
      <c r="M960" s="1">
        <v>170</v>
      </c>
      <c r="N960" s="1">
        <v>70.48</v>
      </c>
      <c r="O960" t="s">
        <v>43</v>
      </c>
      <c r="P960">
        <v>4</v>
      </c>
      <c r="Q960" t="b">
        <v>0</v>
      </c>
      <c r="R960" t="s">
        <v>18</v>
      </c>
      <c r="S960">
        <v>1</v>
      </c>
      <c r="T960" t="e">
        <f>IF(#REF!&lt;=25, "Young Age", IF(#REF!&lt;=40, "Mid Age", "Old Age"))</f>
        <v>#REF!</v>
      </c>
      <c r="U960" t="str">
        <f t="shared" si="14"/>
        <v>Okay</v>
      </c>
    </row>
    <row r="961" spans="1:21" x14ac:dyDescent="0.35">
      <c r="A961" t="s">
        <v>2063</v>
      </c>
      <c r="B961" s="13">
        <v>45431</v>
      </c>
      <c r="C961" t="s">
        <v>2064</v>
      </c>
      <c r="D961" t="s">
        <v>13</v>
      </c>
      <c r="E961" t="s">
        <v>4</v>
      </c>
      <c r="F961" t="s">
        <v>148</v>
      </c>
      <c r="G961" t="s">
        <v>124</v>
      </c>
      <c r="H961" t="s">
        <v>125</v>
      </c>
      <c r="I961">
        <v>1</v>
      </c>
      <c r="J961" s="1">
        <v>9074.17</v>
      </c>
      <c r="K961">
        <v>0.08</v>
      </c>
      <c r="L961" s="1">
        <v>12971.64</v>
      </c>
      <c r="M961" s="1">
        <v>3182.4</v>
      </c>
      <c r="N961" s="1">
        <v>43.12</v>
      </c>
      <c r="O961" t="s">
        <v>30</v>
      </c>
      <c r="P961">
        <v>4</v>
      </c>
      <c r="Q961" t="b">
        <v>0</v>
      </c>
      <c r="R961" t="s">
        <v>18</v>
      </c>
      <c r="S961">
        <v>9</v>
      </c>
      <c r="T961" t="e">
        <f>IF(#REF!&lt;=25, "Young Age", IF(#REF!&lt;=40, "Mid Age", "Old Age"))</f>
        <v>#REF!</v>
      </c>
      <c r="U961" t="str">
        <f t="shared" si="14"/>
        <v>Over Delayed</v>
      </c>
    </row>
    <row r="962" spans="1:21" x14ac:dyDescent="0.35">
      <c r="A962" t="s">
        <v>2065</v>
      </c>
      <c r="B962" s="13">
        <v>44587</v>
      </c>
      <c r="C962" t="s">
        <v>2066</v>
      </c>
      <c r="D962" t="s">
        <v>3</v>
      </c>
      <c r="E962" t="s">
        <v>14</v>
      </c>
      <c r="F962" t="s">
        <v>28</v>
      </c>
      <c r="G962" t="s">
        <v>105</v>
      </c>
      <c r="H962" t="s">
        <v>106</v>
      </c>
      <c r="I962">
        <v>4</v>
      </c>
      <c r="J962" s="1">
        <v>30494.73</v>
      </c>
      <c r="K962">
        <v>0.39</v>
      </c>
      <c r="L962" s="1">
        <v>68016.240000000005</v>
      </c>
      <c r="M962" s="1">
        <v>8846.49</v>
      </c>
      <c r="N962" s="1">
        <v>53.6</v>
      </c>
      <c r="O962" t="s">
        <v>8</v>
      </c>
      <c r="P962">
        <v>2</v>
      </c>
      <c r="Q962" t="b">
        <v>0</v>
      </c>
      <c r="R962" t="s">
        <v>18</v>
      </c>
      <c r="S962">
        <v>4</v>
      </c>
      <c r="T962" t="e">
        <f>IF(#REF!&lt;=25, "Young Age", IF(#REF!&lt;=40, "Mid Age", "Old Age"))</f>
        <v>#REF!</v>
      </c>
      <c r="U962" t="str">
        <f t="shared" ref="U962:U1002" si="15">IF(S962 &lt;=4, "Okay", IF(S962 &lt;=7, "Delayed", "Over Delayed"))</f>
        <v>Okay</v>
      </c>
    </row>
    <row r="963" spans="1:21" x14ac:dyDescent="0.35">
      <c r="A963" t="s">
        <v>2067</v>
      </c>
      <c r="B963" s="13" t="s">
        <v>2068</v>
      </c>
      <c r="C963" t="s">
        <v>2069</v>
      </c>
      <c r="D963" t="s">
        <v>3</v>
      </c>
      <c r="E963" t="s">
        <v>53</v>
      </c>
      <c r="F963" t="s">
        <v>114</v>
      </c>
      <c r="G963" t="s">
        <v>23</v>
      </c>
      <c r="H963" t="s">
        <v>24</v>
      </c>
      <c r="I963">
        <v>7</v>
      </c>
      <c r="J963" s="1">
        <v>31419.94</v>
      </c>
      <c r="K963">
        <v>0.05</v>
      </c>
      <c r="L963" s="1">
        <v>237087.2</v>
      </c>
      <c r="M963" s="1">
        <v>58133.19</v>
      </c>
      <c r="N963" s="1">
        <v>36.96</v>
      </c>
      <c r="O963" t="s">
        <v>8</v>
      </c>
      <c r="P963">
        <v>5</v>
      </c>
      <c r="Q963" t="b">
        <v>0</v>
      </c>
      <c r="R963" t="s">
        <v>175</v>
      </c>
      <c r="S963">
        <v>5</v>
      </c>
      <c r="T963" t="e">
        <f>IF(#REF!&lt;=25, "Young Age", IF(#REF!&lt;=40, "Mid Age", "Old Age"))</f>
        <v>#REF!</v>
      </c>
      <c r="U963" t="str">
        <f t="shared" si="15"/>
        <v>Delayed</v>
      </c>
    </row>
    <row r="964" spans="1:21" x14ac:dyDescent="0.35">
      <c r="A964" t="s">
        <v>2070</v>
      </c>
      <c r="B964" s="13">
        <v>44761</v>
      </c>
      <c r="C964" t="s">
        <v>2071</v>
      </c>
      <c r="D964" t="s">
        <v>47</v>
      </c>
      <c r="E964" t="s">
        <v>89</v>
      </c>
      <c r="F964" t="s">
        <v>90</v>
      </c>
      <c r="G964" t="s">
        <v>23</v>
      </c>
      <c r="H964" t="s">
        <v>24</v>
      </c>
      <c r="I964">
        <v>2</v>
      </c>
      <c r="J964" s="1">
        <v>23522.83</v>
      </c>
      <c r="K964">
        <v>0.15</v>
      </c>
      <c r="L964" s="1">
        <v>53090.46</v>
      </c>
      <c r="M964" s="1">
        <v>18316.25</v>
      </c>
      <c r="N964" s="1">
        <v>70.069999999999993</v>
      </c>
      <c r="O964" t="s">
        <v>30</v>
      </c>
      <c r="P964">
        <v>2</v>
      </c>
      <c r="Q964" t="b">
        <v>0</v>
      </c>
      <c r="R964" t="s">
        <v>18</v>
      </c>
      <c r="S964">
        <v>8</v>
      </c>
      <c r="T964" t="e">
        <f>IF(#REF!&lt;=25, "Young Age", IF(#REF!&lt;=40, "Mid Age", "Old Age"))</f>
        <v>#REF!</v>
      </c>
      <c r="U964" t="str">
        <f t="shared" si="15"/>
        <v>Over Delayed</v>
      </c>
    </row>
    <row r="965" spans="1:21" x14ac:dyDescent="0.35">
      <c r="A965" t="s">
        <v>2072</v>
      </c>
      <c r="B965" s="13">
        <v>45186</v>
      </c>
      <c r="C965" t="s">
        <v>2073</v>
      </c>
      <c r="D965" t="s">
        <v>13</v>
      </c>
      <c r="E965" t="s">
        <v>14</v>
      </c>
      <c r="F965" t="s">
        <v>15</v>
      </c>
      <c r="G965" t="s">
        <v>124</v>
      </c>
      <c r="H965" t="s">
        <v>413</v>
      </c>
      <c r="I965">
        <v>8</v>
      </c>
      <c r="J965" s="1">
        <v>10683.75</v>
      </c>
      <c r="K965">
        <v>0.04</v>
      </c>
      <c r="L965" s="1">
        <v>113358.26</v>
      </c>
      <c r="M965" s="1">
        <v>26416.639999999999</v>
      </c>
      <c r="N965" s="1">
        <v>59.9</v>
      </c>
      <c r="O965" t="s">
        <v>43</v>
      </c>
      <c r="P965">
        <v>1</v>
      </c>
      <c r="Q965" t="b">
        <v>0</v>
      </c>
      <c r="R965" t="s">
        <v>18</v>
      </c>
      <c r="S965">
        <v>7</v>
      </c>
      <c r="T965" t="e">
        <f>IF(#REF!&lt;=25, "Young Age", IF(#REF!&lt;=40, "Mid Age", "Old Age"))</f>
        <v>#REF!</v>
      </c>
      <c r="U965" t="str">
        <f t="shared" si="15"/>
        <v>Delayed</v>
      </c>
    </row>
    <row r="966" spans="1:21" x14ac:dyDescent="0.35">
      <c r="A966" t="s">
        <v>2074</v>
      </c>
      <c r="B966" s="13">
        <v>44479</v>
      </c>
      <c r="C966" t="s">
        <v>2075</v>
      </c>
      <c r="D966" t="s">
        <v>47</v>
      </c>
      <c r="E966" t="s">
        <v>89</v>
      </c>
      <c r="F966" t="s">
        <v>90</v>
      </c>
      <c r="G966" t="s">
        <v>41</v>
      </c>
      <c r="H966" t="s">
        <v>129</v>
      </c>
      <c r="I966">
        <v>8</v>
      </c>
      <c r="J966" s="1">
        <v>1196.3800000000001</v>
      </c>
      <c r="K966">
        <v>0.14000000000000001</v>
      </c>
      <c r="L966" s="1">
        <v>8445.01</v>
      </c>
      <c r="M966" s="1">
        <v>3179.69</v>
      </c>
      <c r="N966" s="1">
        <v>71.87</v>
      </c>
      <c r="O966" t="s">
        <v>36</v>
      </c>
      <c r="P966">
        <v>2</v>
      </c>
      <c r="Q966" t="b">
        <v>0</v>
      </c>
      <c r="R966" t="s">
        <v>18</v>
      </c>
      <c r="S966">
        <v>4</v>
      </c>
      <c r="T966" t="e">
        <f>IF(#REF!&lt;=25, "Young Age", IF(#REF!&lt;=40, "Mid Age", "Old Age"))</f>
        <v>#REF!</v>
      </c>
      <c r="U966" t="str">
        <f t="shared" si="15"/>
        <v>Okay</v>
      </c>
    </row>
    <row r="967" spans="1:21" x14ac:dyDescent="0.35">
      <c r="A967" t="s">
        <v>2076</v>
      </c>
      <c r="B967" s="13">
        <v>44741</v>
      </c>
      <c r="C967" t="s">
        <v>2077</v>
      </c>
      <c r="D967" t="s">
        <v>47</v>
      </c>
      <c r="E967" t="s">
        <v>14</v>
      </c>
      <c r="F967" t="s">
        <v>15</v>
      </c>
      <c r="G967" t="s">
        <v>16</v>
      </c>
      <c r="H967" t="s">
        <v>80</v>
      </c>
      <c r="I967">
        <v>7</v>
      </c>
      <c r="J967" s="1">
        <v>854.71</v>
      </c>
      <c r="K967">
        <v>0.09</v>
      </c>
      <c r="L967" s="1">
        <v>7728.92</v>
      </c>
      <c r="M967" s="1">
        <v>3265.65</v>
      </c>
      <c r="N967" s="1">
        <v>55.34</v>
      </c>
      <c r="O967" t="s">
        <v>57</v>
      </c>
      <c r="P967">
        <v>3</v>
      </c>
      <c r="Q967" t="b">
        <v>0</v>
      </c>
      <c r="R967" t="s">
        <v>18</v>
      </c>
      <c r="S967">
        <v>2</v>
      </c>
      <c r="T967" t="e">
        <f>IF(#REF!&lt;=25, "Young Age", IF(#REF!&lt;=40, "Mid Age", "Old Age"))</f>
        <v>#REF!</v>
      </c>
      <c r="U967" t="str">
        <f t="shared" si="15"/>
        <v>Okay</v>
      </c>
    </row>
    <row r="968" spans="1:21" x14ac:dyDescent="0.35">
      <c r="A968" t="s">
        <v>2078</v>
      </c>
      <c r="B968" s="13">
        <v>44833</v>
      </c>
      <c r="C968" t="s">
        <v>2079</v>
      </c>
      <c r="D968" t="s">
        <v>47</v>
      </c>
      <c r="E968" t="s">
        <v>53</v>
      </c>
      <c r="F968" t="s">
        <v>54</v>
      </c>
      <c r="G968" t="s">
        <v>41</v>
      </c>
      <c r="H968" t="s">
        <v>477</v>
      </c>
      <c r="I968">
        <v>10</v>
      </c>
      <c r="J968" s="1">
        <v>723.67</v>
      </c>
      <c r="K968">
        <v>0.04</v>
      </c>
      <c r="L968" s="1">
        <v>9456.02</v>
      </c>
      <c r="M968" s="1">
        <v>3461.29</v>
      </c>
      <c r="N968" s="1">
        <v>54.96</v>
      </c>
      <c r="O968" t="s">
        <v>36</v>
      </c>
      <c r="P968" t="s">
        <v>2149</v>
      </c>
      <c r="Q968" t="b">
        <v>1</v>
      </c>
      <c r="R968" t="s">
        <v>9</v>
      </c>
      <c r="S968">
        <v>7</v>
      </c>
      <c r="T968" t="e">
        <f>IF(#REF!&lt;=25, "Young Age", IF(#REF!&lt;=40, "Mid Age", "Old Age"))</f>
        <v>#REF!</v>
      </c>
      <c r="U968" t="str">
        <f t="shared" si="15"/>
        <v>Delayed</v>
      </c>
    </row>
    <row r="969" spans="1:21" x14ac:dyDescent="0.35">
      <c r="A969" t="s">
        <v>2080</v>
      </c>
      <c r="B969" s="13">
        <v>44936</v>
      </c>
      <c r="C969" t="s">
        <v>2081</v>
      </c>
      <c r="D969" t="s">
        <v>13</v>
      </c>
      <c r="E969" t="s">
        <v>89</v>
      </c>
      <c r="F969" t="s">
        <v>90</v>
      </c>
      <c r="G969" t="s">
        <v>41</v>
      </c>
      <c r="H969" t="s">
        <v>477</v>
      </c>
      <c r="I969">
        <v>5</v>
      </c>
      <c r="J969" s="1">
        <v>1209.77</v>
      </c>
      <c r="K969">
        <v>0.22</v>
      </c>
      <c r="L969" s="1">
        <v>4481.5600000000004</v>
      </c>
      <c r="M969" s="1">
        <v>1760.45</v>
      </c>
      <c r="N969" s="1">
        <v>48.73</v>
      </c>
      <c r="O969" t="s">
        <v>8</v>
      </c>
      <c r="P969">
        <v>1</v>
      </c>
      <c r="Q969" t="b">
        <v>0</v>
      </c>
      <c r="R969" t="s">
        <v>18</v>
      </c>
      <c r="S969">
        <v>10</v>
      </c>
      <c r="T969" t="e">
        <f>IF(#REF!&lt;=25, "Young Age", IF(#REF!&lt;=40, "Mid Age", "Old Age"))</f>
        <v>#REF!</v>
      </c>
      <c r="U969" t="str">
        <f t="shared" si="15"/>
        <v>Over Delayed</v>
      </c>
    </row>
    <row r="970" spans="1:21" x14ac:dyDescent="0.35">
      <c r="A970" t="s">
        <v>2082</v>
      </c>
      <c r="B970" s="13">
        <v>44893</v>
      </c>
      <c r="C970" t="s">
        <v>2083</v>
      </c>
      <c r="D970" t="s">
        <v>47</v>
      </c>
      <c r="E970" t="s">
        <v>89</v>
      </c>
      <c r="F970" t="s">
        <v>299</v>
      </c>
      <c r="G970" t="s">
        <v>6</v>
      </c>
      <c r="H970" t="s">
        <v>374</v>
      </c>
      <c r="I970">
        <v>6</v>
      </c>
      <c r="J970" s="1">
        <v>282.54000000000002</v>
      </c>
      <c r="K970">
        <v>0</v>
      </c>
      <c r="L970" s="1">
        <v>1669.01</v>
      </c>
      <c r="M970" s="1">
        <v>157.04</v>
      </c>
      <c r="N970" s="1">
        <v>101.43</v>
      </c>
      <c r="O970" t="s">
        <v>57</v>
      </c>
      <c r="P970">
        <v>2</v>
      </c>
      <c r="Q970" t="b">
        <v>0</v>
      </c>
      <c r="R970" t="s">
        <v>115</v>
      </c>
      <c r="S970">
        <v>9</v>
      </c>
      <c r="T970" t="e">
        <f>IF(#REF!&lt;=25, "Young Age", IF(#REF!&lt;=40, "Mid Age", "Old Age"))</f>
        <v>#REF!</v>
      </c>
      <c r="U970" t="str">
        <f t="shared" si="15"/>
        <v>Over Delayed</v>
      </c>
    </row>
    <row r="971" spans="1:21" x14ac:dyDescent="0.35">
      <c r="A971" t="s">
        <v>2084</v>
      </c>
      <c r="B971" s="13">
        <v>44306</v>
      </c>
      <c r="C971" t="s">
        <v>2085</v>
      </c>
      <c r="D971" t="s">
        <v>3</v>
      </c>
      <c r="E971" t="s">
        <v>89</v>
      </c>
      <c r="F971" t="s">
        <v>119</v>
      </c>
      <c r="G971" t="s">
        <v>55</v>
      </c>
      <c r="H971" t="s">
        <v>56</v>
      </c>
      <c r="I971">
        <v>5</v>
      </c>
      <c r="J971" s="1">
        <v>2726.58</v>
      </c>
      <c r="K971">
        <v>0.16</v>
      </c>
      <c r="L971" s="1">
        <v>15369.71</v>
      </c>
      <c r="M971" s="1">
        <v>5460.97</v>
      </c>
      <c r="N971" s="1">
        <v>55.2</v>
      </c>
      <c r="O971" t="s">
        <v>30</v>
      </c>
      <c r="P971">
        <v>4</v>
      </c>
      <c r="Q971" t="b">
        <v>0</v>
      </c>
      <c r="R971" t="s">
        <v>18</v>
      </c>
      <c r="S971">
        <v>3</v>
      </c>
      <c r="T971" t="e">
        <f>IF(#REF!&lt;=25, "Young Age", IF(#REF!&lt;=40, "Mid Age", "Old Age"))</f>
        <v>#REF!</v>
      </c>
      <c r="U971" t="str">
        <f t="shared" si="15"/>
        <v>Okay</v>
      </c>
    </row>
    <row r="972" spans="1:21" x14ac:dyDescent="0.35">
      <c r="A972" t="s">
        <v>2086</v>
      </c>
      <c r="B972" s="13">
        <v>44760</v>
      </c>
      <c r="C972" t="s">
        <v>2087</v>
      </c>
      <c r="D972" t="s">
        <v>3</v>
      </c>
      <c r="E972" t="s">
        <v>14</v>
      </c>
      <c r="F972" t="s">
        <v>15</v>
      </c>
      <c r="G972" t="s">
        <v>23</v>
      </c>
      <c r="H972" t="s">
        <v>24</v>
      </c>
      <c r="I972">
        <v>10</v>
      </c>
      <c r="J972" s="1">
        <v>28298.23</v>
      </c>
      <c r="K972">
        <v>0.25</v>
      </c>
      <c r="L972" s="1">
        <v>341316.69</v>
      </c>
      <c r="M972" s="1">
        <v>107787.95</v>
      </c>
      <c r="N972" s="1">
        <v>94.71</v>
      </c>
      <c r="O972" t="s">
        <v>8</v>
      </c>
      <c r="P972">
        <v>4</v>
      </c>
      <c r="Q972" t="b">
        <v>0</v>
      </c>
      <c r="R972" t="s">
        <v>18</v>
      </c>
      <c r="S972">
        <v>4</v>
      </c>
      <c r="T972" t="e">
        <f>IF(#REF!&lt;=25, "Young Age", IF(#REF!&lt;=40, "Mid Age", "Old Age"))</f>
        <v>#REF!</v>
      </c>
      <c r="U972" t="str">
        <f t="shared" si="15"/>
        <v>Okay</v>
      </c>
    </row>
    <row r="973" spans="1:21" x14ac:dyDescent="0.35">
      <c r="A973" t="s">
        <v>2088</v>
      </c>
      <c r="B973" s="13">
        <v>43871</v>
      </c>
      <c r="C973" t="s">
        <v>2089</v>
      </c>
      <c r="D973" t="s">
        <v>13</v>
      </c>
      <c r="E973" t="s">
        <v>53</v>
      </c>
      <c r="F973" t="s">
        <v>79</v>
      </c>
      <c r="G973" t="s">
        <v>23</v>
      </c>
      <c r="H973" t="s">
        <v>71</v>
      </c>
      <c r="I973">
        <v>8</v>
      </c>
      <c r="J973" s="1">
        <v>18758.18</v>
      </c>
      <c r="K973">
        <v>0.11</v>
      </c>
      <c r="L973" s="1">
        <v>112518.3</v>
      </c>
      <c r="M973" s="1">
        <v>31415.21</v>
      </c>
      <c r="N973" s="1">
        <v>56.55</v>
      </c>
      <c r="O973" t="s">
        <v>36</v>
      </c>
      <c r="P973">
        <v>5</v>
      </c>
      <c r="Q973" t="b">
        <v>0</v>
      </c>
      <c r="R973" t="s">
        <v>63</v>
      </c>
      <c r="S973">
        <v>6</v>
      </c>
      <c r="T973" t="e">
        <f>IF(#REF!&lt;=25, "Young Age", IF(#REF!&lt;=40, "Mid Age", "Old Age"))</f>
        <v>#REF!</v>
      </c>
      <c r="U973" t="str">
        <f t="shared" si="15"/>
        <v>Delayed</v>
      </c>
    </row>
    <row r="974" spans="1:21" x14ac:dyDescent="0.35">
      <c r="A974" t="s">
        <v>2090</v>
      </c>
      <c r="B974" s="13">
        <v>44453</v>
      </c>
      <c r="C974" t="s">
        <v>2091</v>
      </c>
      <c r="D974" t="s">
        <v>47</v>
      </c>
      <c r="E974" t="s">
        <v>89</v>
      </c>
      <c r="F974" t="s">
        <v>90</v>
      </c>
      <c r="G974" t="s">
        <v>105</v>
      </c>
      <c r="H974" t="s">
        <v>438</v>
      </c>
      <c r="J974" s="1">
        <v>56629.75</v>
      </c>
      <c r="K974">
        <v>0.04</v>
      </c>
      <c r="L974" s="1">
        <v>62813.98</v>
      </c>
      <c r="M974" s="1">
        <v>8275.81</v>
      </c>
      <c r="N974" s="1">
        <v>63.16</v>
      </c>
      <c r="O974" t="s">
        <v>36</v>
      </c>
      <c r="P974">
        <v>5</v>
      </c>
      <c r="Q974" t="b">
        <v>0</v>
      </c>
      <c r="R974" t="s">
        <v>18</v>
      </c>
      <c r="S974">
        <v>9</v>
      </c>
      <c r="T974" t="e">
        <f>IF(#REF!&lt;=25, "Young Age", IF(#REF!&lt;=40, "Mid Age", "Old Age"))</f>
        <v>#REF!</v>
      </c>
      <c r="U974" t="str">
        <f t="shared" si="15"/>
        <v>Over Delayed</v>
      </c>
    </row>
    <row r="975" spans="1:21" x14ac:dyDescent="0.35">
      <c r="A975" t="s">
        <v>2092</v>
      </c>
      <c r="B975" s="13">
        <v>44091</v>
      </c>
      <c r="C975" t="s">
        <v>2093</v>
      </c>
      <c r="D975" t="s">
        <v>13</v>
      </c>
      <c r="E975" t="s">
        <v>89</v>
      </c>
      <c r="F975" t="s">
        <v>99</v>
      </c>
      <c r="G975" t="s">
        <v>105</v>
      </c>
      <c r="H975" t="s">
        <v>174</v>
      </c>
      <c r="I975">
        <v>10</v>
      </c>
      <c r="J975" s="1">
        <v>74981.27</v>
      </c>
      <c r="K975">
        <v>0.04</v>
      </c>
      <c r="L975" s="1">
        <v>822702.48</v>
      </c>
      <c r="M975" s="1">
        <v>98591.29</v>
      </c>
      <c r="N975" s="1">
        <v>90.58</v>
      </c>
      <c r="O975" t="s">
        <v>8</v>
      </c>
      <c r="P975">
        <v>1</v>
      </c>
      <c r="Q975" t="b">
        <v>1</v>
      </c>
      <c r="R975" t="s">
        <v>9</v>
      </c>
      <c r="S975">
        <v>5</v>
      </c>
      <c r="T975" t="e">
        <f>IF(#REF!&lt;=25, "Young Age", IF(#REF!&lt;=40, "Mid Age", "Old Age"))</f>
        <v>#REF!</v>
      </c>
      <c r="U975" t="str">
        <f t="shared" si="15"/>
        <v>Delayed</v>
      </c>
    </row>
    <row r="976" spans="1:21" x14ac:dyDescent="0.35">
      <c r="A976" t="s">
        <v>2094</v>
      </c>
      <c r="B976" s="13">
        <v>44507</v>
      </c>
      <c r="C976" t="s">
        <v>2095</v>
      </c>
      <c r="D976" t="s">
        <v>13</v>
      </c>
      <c r="E976" t="s">
        <v>89</v>
      </c>
      <c r="F976" t="s">
        <v>119</v>
      </c>
      <c r="G976" t="s">
        <v>6</v>
      </c>
      <c r="H976" t="s">
        <v>387</v>
      </c>
      <c r="I976">
        <v>10</v>
      </c>
      <c r="J976" s="1">
        <v>108.51</v>
      </c>
      <c r="K976">
        <v>0.03</v>
      </c>
      <c r="L976" s="1">
        <v>907.65</v>
      </c>
      <c r="M976" s="1">
        <v>97.79</v>
      </c>
      <c r="N976" s="1">
        <v>67.08</v>
      </c>
      <c r="O976" t="s">
        <v>8</v>
      </c>
      <c r="P976">
        <v>3</v>
      </c>
      <c r="Q976" t="b">
        <v>1</v>
      </c>
      <c r="R976" t="s">
        <v>9</v>
      </c>
      <c r="S976">
        <v>10</v>
      </c>
      <c r="T976" t="e">
        <f>IF(#REF!&lt;=25, "Young Age", IF(#REF!&lt;=40, "Mid Age", "Old Age"))</f>
        <v>#REF!</v>
      </c>
      <c r="U976" t="str">
        <f t="shared" si="15"/>
        <v>Over Delayed</v>
      </c>
    </row>
    <row r="977" spans="1:21" x14ac:dyDescent="0.35">
      <c r="A977" t="s">
        <v>2096</v>
      </c>
      <c r="B977" s="13">
        <v>44073</v>
      </c>
      <c r="C977" t="s">
        <v>2097</v>
      </c>
      <c r="D977" t="s">
        <v>47</v>
      </c>
      <c r="E977" t="s">
        <v>89</v>
      </c>
      <c r="F977" t="s">
        <v>99</v>
      </c>
      <c r="G977" t="s">
        <v>23</v>
      </c>
      <c r="H977" t="s">
        <v>24</v>
      </c>
      <c r="I977">
        <v>8</v>
      </c>
      <c r="J977" s="1">
        <v>13159.22</v>
      </c>
      <c r="K977">
        <v>0.18</v>
      </c>
      <c r="L977" s="1">
        <v>82824.149999999994</v>
      </c>
      <c r="M977" s="1">
        <v>28653.14</v>
      </c>
      <c r="N977" s="1">
        <v>55.64</v>
      </c>
      <c r="O977" t="s">
        <v>49</v>
      </c>
      <c r="P977">
        <v>4</v>
      </c>
      <c r="Q977" t="b">
        <v>1</v>
      </c>
      <c r="R977" t="s">
        <v>9</v>
      </c>
      <c r="S977">
        <v>8</v>
      </c>
      <c r="T977" t="e">
        <f>IF(#REF!&lt;=25, "Young Age", IF(#REF!&lt;=40, "Mid Age", "Old Age"))</f>
        <v>#REF!</v>
      </c>
      <c r="U977" t="str">
        <f t="shared" si="15"/>
        <v>Over Delayed</v>
      </c>
    </row>
    <row r="978" spans="1:21" x14ac:dyDescent="0.35">
      <c r="A978" t="s">
        <v>2098</v>
      </c>
      <c r="B978" s="13">
        <v>44249</v>
      </c>
      <c r="C978" t="s">
        <v>2099</v>
      </c>
      <c r="D978" t="s">
        <v>13</v>
      </c>
      <c r="E978" t="s">
        <v>61</v>
      </c>
      <c r="F978" t="s">
        <v>222</v>
      </c>
      <c r="G978" t="s">
        <v>6</v>
      </c>
      <c r="H978" t="s">
        <v>35</v>
      </c>
      <c r="I978">
        <v>1</v>
      </c>
      <c r="J978" s="1">
        <v>227.48</v>
      </c>
      <c r="K978">
        <v>0.11</v>
      </c>
      <c r="L978" s="1">
        <v>175.14</v>
      </c>
      <c r="M978" s="1">
        <v>15.49</v>
      </c>
      <c r="N978" s="1">
        <v>47.37</v>
      </c>
      <c r="O978" t="s">
        <v>30</v>
      </c>
      <c r="P978">
        <v>1</v>
      </c>
      <c r="Q978" t="b">
        <v>0</v>
      </c>
      <c r="R978" t="s">
        <v>37</v>
      </c>
      <c r="S978">
        <v>4</v>
      </c>
      <c r="T978" t="e">
        <f>IF(#REF!&lt;=25, "Young Age", IF(#REF!&lt;=40, "Mid Age", "Old Age"))</f>
        <v>#REF!</v>
      </c>
      <c r="U978" t="str">
        <f t="shared" si="15"/>
        <v>Okay</v>
      </c>
    </row>
    <row r="979" spans="1:21" x14ac:dyDescent="0.35">
      <c r="A979" t="s">
        <v>2100</v>
      </c>
      <c r="B979" s="13">
        <v>44320</v>
      </c>
      <c r="C979" t="s">
        <v>2101</v>
      </c>
      <c r="D979" t="s">
        <v>3</v>
      </c>
      <c r="E979" t="s">
        <v>14</v>
      </c>
      <c r="F979" t="s">
        <v>28</v>
      </c>
      <c r="G979" t="s">
        <v>105</v>
      </c>
      <c r="H979" t="s">
        <v>174</v>
      </c>
      <c r="I979">
        <v>1</v>
      </c>
      <c r="J979" s="1">
        <v>22006.34</v>
      </c>
      <c r="K979">
        <v>0.11</v>
      </c>
      <c r="L979" s="1">
        <v>26028.1</v>
      </c>
      <c r="M979" s="1">
        <v>3707.24</v>
      </c>
      <c r="N979" s="1">
        <v>40.729999999999997</v>
      </c>
      <c r="O979" t="s">
        <v>8</v>
      </c>
      <c r="P979">
        <v>2</v>
      </c>
      <c r="Q979" t="b">
        <v>1</v>
      </c>
      <c r="R979" t="s">
        <v>9</v>
      </c>
      <c r="S979">
        <v>10</v>
      </c>
      <c r="T979" t="e">
        <f>IF(#REF!&lt;=25, "Young Age", IF(#REF!&lt;=40, "Mid Age", "Old Age"))</f>
        <v>#REF!</v>
      </c>
      <c r="U979" t="str">
        <f t="shared" si="15"/>
        <v>Over Delayed</v>
      </c>
    </row>
    <row r="980" spans="1:21" x14ac:dyDescent="0.35">
      <c r="A980" t="s">
        <v>2102</v>
      </c>
      <c r="B980" s="13">
        <v>43952</v>
      </c>
      <c r="C980" t="s">
        <v>2103</v>
      </c>
      <c r="D980" t="s">
        <v>3</v>
      </c>
      <c r="E980" t="s">
        <v>4</v>
      </c>
      <c r="F980" t="s">
        <v>34</v>
      </c>
      <c r="G980" t="s">
        <v>23</v>
      </c>
      <c r="H980" t="s">
        <v>95</v>
      </c>
      <c r="I980">
        <v>8</v>
      </c>
      <c r="J980" s="1">
        <v>31845.06</v>
      </c>
      <c r="K980">
        <v>0.06</v>
      </c>
      <c r="L980" s="1">
        <v>300720.71999999997</v>
      </c>
      <c r="M980" s="1">
        <v>100251.26</v>
      </c>
      <c r="N980" s="1">
        <v>38.42</v>
      </c>
      <c r="O980" t="s">
        <v>49</v>
      </c>
      <c r="P980">
        <v>1</v>
      </c>
      <c r="Q980" t="b">
        <v>0</v>
      </c>
      <c r="R980" t="s">
        <v>18</v>
      </c>
      <c r="S980">
        <v>10</v>
      </c>
      <c r="T980" t="e">
        <f>IF(#REF!&lt;=25, "Young Age", IF(#REF!&lt;=40, "Mid Age", "Old Age"))</f>
        <v>#REF!</v>
      </c>
      <c r="U980" t="str">
        <f t="shared" si="15"/>
        <v>Over Delayed</v>
      </c>
    </row>
    <row r="981" spans="1:21" x14ac:dyDescent="0.35">
      <c r="A981" t="s">
        <v>2104</v>
      </c>
      <c r="B981" s="13">
        <v>45360</v>
      </c>
      <c r="C981" t="s">
        <v>2105</v>
      </c>
      <c r="D981" t="s">
        <v>13</v>
      </c>
      <c r="E981" t="s">
        <v>53</v>
      </c>
      <c r="F981" t="s">
        <v>54</v>
      </c>
      <c r="G981" t="s">
        <v>105</v>
      </c>
      <c r="H981" t="s">
        <v>174</v>
      </c>
      <c r="I981">
        <v>9</v>
      </c>
      <c r="J981" s="1">
        <v>16973.28</v>
      </c>
      <c r="K981">
        <v>0.05</v>
      </c>
      <c r="L981" s="1">
        <v>208512.34</v>
      </c>
      <c r="M981" s="1">
        <v>29073.1</v>
      </c>
      <c r="N981" s="1">
        <v>35</v>
      </c>
      <c r="O981" t="s">
        <v>43</v>
      </c>
      <c r="P981">
        <v>4</v>
      </c>
      <c r="Q981" t="b">
        <v>0</v>
      </c>
      <c r="R981" t="s">
        <v>63</v>
      </c>
      <c r="S981">
        <v>4</v>
      </c>
      <c r="T981" t="e">
        <f>IF(#REF!&lt;=25, "Young Age", IF(#REF!&lt;=40, "Mid Age", "Old Age"))</f>
        <v>#REF!</v>
      </c>
      <c r="U981" t="str">
        <f t="shared" si="15"/>
        <v>Okay</v>
      </c>
    </row>
    <row r="982" spans="1:21" x14ac:dyDescent="0.35">
      <c r="A982" t="s">
        <v>2106</v>
      </c>
      <c r="B982" s="13">
        <v>44493</v>
      </c>
      <c r="C982" t="s">
        <v>2107</v>
      </c>
      <c r="D982" t="s">
        <v>13</v>
      </c>
      <c r="E982" t="s">
        <v>89</v>
      </c>
      <c r="F982" t="s">
        <v>299</v>
      </c>
      <c r="G982" t="s">
        <v>105</v>
      </c>
      <c r="H982" t="s">
        <v>282</v>
      </c>
      <c r="I982">
        <v>3</v>
      </c>
      <c r="J982" s="1">
        <v>33682.54</v>
      </c>
      <c r="K982">
        <v>0.26</v>
      </c>
      <c r="L982" s="1">
        <v>62547.07</v>
      </c>
      <c r="M982" s="1">
        <v>8775.98</v>
      </c>
      <c r="N982" s="1">
        <v>56.02</v>
      </c>
      <c r="O982" t="s">
        <v>43</v>
      </c>
      <c r="P982">
        <v>1</v>
      </c>
      <c r="Q982" t="b">
        <v>1</v>
      </c>
      <c r="R982" t="s">
        <v>9</v>
      </c>
      <c r="S982">
        <v>3</v>
      </c>
      <c r="T982" t="e">
        <f>IF(#REF!&lt;=25, "Young Age", IF(#REF!&lt;=40, "Mid Age", "Old Age"))</f>
        <v>#REF!</v>
      </c>
      <c r="U982" t="str">
        <f t="shared" si="15"/>
        <v>Okay</v>
      </c>
    </row>
    <row r="983" spans="1:21" x14ac:dyDescent="0.35">
      <c r="A983" t="s">
        <v>2108</v>
      </c>
      <c r="B983" s="13">
        <v>44417</v>
      </c>
      <c r="C983" t="s">
        <v>2109</v>
      </c>
      <c r="D983" t="s">
        <v>3</v>
      </c>
      <c r="E983" t="s">
        <v>61</v>
      </c>
      <c r="F983" t="s">
        <v>222</v>
      </c>
      <c r="G983" t="s">
        <v>124</v>
      </c>
      <c r="H983" t="s">
        <v>413</v>
      </c>
      <c r="I983">
        <v>6</v>
      </c>
      <c r="J983" s="1">
        <v>8185.51</v>
      </c>
      <c r="K983">
        <v>0.23</v>
      </c>
      <c r="L983" s="1">
        <v>46089.54</v>
      </c>
      <c r="M983" s="1">
        <v>10034.219999999999</v>
      </c>
      <c r="N983" s="1">
        <v>86.32</v>
      </c>
      <c r="O983" t="s">
        <v>49</v>
      </c>
      <c r="P983">
        <v>4</v>
      </c>
      <c r="Q983" t="b">
        <v>1</v>
      </c>
      <c r="R983" t="s">
        <v>9</v>
      </c>
      <c r="S983">
        <v>9</v>
      </c>
      <c r="T983" t="e">
        <f>IF(#REF!&lt;=25, "Young Age", IF(#REF!&lt;=40, "Mid Age", "Old Age"))</f>
        <v>#REF!</v>
      </c>
      <c r="U983" t="str">
        <f t="shared" si="15"/>
        <v>Over Delayed</v>
      </c>
    </row>
    <row r="984" spans="1:21" x14ac:dyDescent="0.35">
      <c r="A984" t="s">
        <v>2110</v>
      </c>
      <c r="B984" s="13">
        <v>45265</v>
      </c>
      <c r="C984" t="s">
        <v>2111</v>
      </c>
      <c r="D984" t="s">
        <v>3</v>
      </c>
      <c r="E984" t="s">
        <v>61</v>
      </c>
      <c r="F984" t="s">
        <v>62</v>
      </c>
      <c r="G984" t="s">
        <v>124</v>
      </c>
      <c r="H984" t="s">
        <v>139</v>
      </c>
      <c r="I984">
        <v>3</v>
      </c>
      <c r="J984" s="1">
        <v>2813.63</v>
      </c>
      <c r="K984">
        <v>0.22</v>
      </c>
      <c r="L984" s="1">
        <v>5526.04</v>
      </c>
      <c r="M984" s="1">
        <v>1360.97</v>
      </c>
      <c r="N984" s="1">
        <v>71.86</v>
      </c>
      <c r="O984" t="s">
        <v>30</v>
      </c>
      <c r="P984">
        <v>2</v>
      </c>
      <c r="Q984" t="b">
        <v>0</v>
      </c>
      <c r="R984" t="s">
        <v>175</v>
      </c>
      <c r="S984">
        <v>9</v>
      </c>
      <c r="T984" t="e">
        <f>IF(#REF!&lt;=25, "Young Age", IF(#REF!&lt;=40, "Mid Age", "Old Age"))</f>
        <v>#REF!</v>
      </c>
      <c r="U984" t="str">
        <f t="shared" si="15"/>
        <v>Over Delayed</v>
      </c>
    </row>
    <row r="985" spans="1:21" x14ac:dyDescent="0.35">
      <c r="A985" t="s">
        <v>2112</v>
      </c>
      <c r="B985" s="13">
        <v>44262</v>
      </c>
      <c r="C985" t="s">
        <v>2113</v>
      </c>
      <c r="D985" t="s">
        <v>13</v>
      </c>
      <c r="E985" t="s">
        <v>4</v>
      </c>
      <c r="F985" t="s">
        <v>5</v>
      </c>
      <c r="G985" t="s">
        <v>55</v>
      </c>
      <c r="H985" t="s">
        <v>91</v>
      </c>
      <c r="I985">
        <v>10</v>
      </c>
      <c r="J985" s="1">
        <v>2879.31</v>
      </c>
      <c r="K985">
        <v>0.34</v>
      </c>
      <c r="L985" s="1">
        <v>19680.419999999998</v>
      </c>
      <c r="M985" s="1">
        <v>5641.8</v>
      </c>
      <c r="N985" s="1">
        <v>64.13</v>
      </c>
      <c r="O985" t="s">
        <v>8</v>
      </c>
      <c r="P985">
        <v>2</v>
      </c>
      <c r="Q985" t="b">
        <v>0</v>
      </c>
      <c r="R985" t="s">
        <v>18</v>
      </c>
      <c r="S985">
        <v>4</v>
      </c>
      <c r="T985" t="e">
        <f>IF(#REF!&lt;=25, "Young Age", IF(#REF!&lt;=40, "Mid Age", "Old Age"))</f>
        <v>#REF!</v>
      </c>
      <c r="U985" t="str">
        <f t="shared" si="15"/>
        <v>Okay</v>
      </c>
    </row>
    <row r="986" spans="1:21" x14ac:dyDescent="0.35">
      <c r="A986" t="s">
        <v>2114</v>
      </c>
      <c r="B986" s="13">
        <v>45435</v>
      </c>
      <c r="C986" t="s">
        <v>2115</v>
      </c>
      <c r="D986" t="s">
        <v>3</v>
      </c>
      <c r="E986" t="s">
        <v>89</v>
      </c>
      <c r="F986" t="s">
        <v>90</v>
      </c>
      <c r="G986" t="s">
        <v>6</v>
      </c>
      <c r="H986" t="s">
        <v>35</v>
      </c>
      <c r="I986">
        <v>9</v>
      </c>
      <c r="J986" s="1">
        <v>399.43</v>
      </c>
      <c r="K986">
        <v>0.06</v>
      </c>
      <c r="L986" s="1">
        <v>5735.84</v>
      </c>
      <c r="M986" s="1">
        <v>223.77</v>
      </c>
      <c r="N986" s="1">
        <v>65.8</v>
      </c>
      <c r="O986" t="s">
        <v>30</v>
      </c>
      <c r="P986">
        <v>1</v>
      </c>
      <c r="Q986" t="b">
        <v>0</v>
      </c>
      <c r="R986" t="s">
        <v>18</v>
      </c>
      <c r="S986">
        <v>4</v>
      </c>
      <c r="T986" t="e">
        <f>IF(#REF!&lt;=25, "Young Age", IF(#REF!&lt;=40, "Mid Age", "Old Age"))</f>
        <v>#REF!</v>
      </c>
      <c r="U986" t="str">
        <f t="shared" si="15"/>
        <v>Okay</v>
      </c>
    </row>
    <row r="987" spans="1:21" x14ac:dyDescent="0.35">
      <c r="A987" t="s">
        <v>2116</v>
      </c>
      <c r="B987" s="13">
        <v>44644</v>
      </c>
      <c r="C987" t="s">
        <v>2117</v>
      </c>
      <c r="D987" t="s">
        <v>13</v>
      </c>
      <c r="E987" t="s">
        <v>89</v>
      </c>
      <c r="F987" t="s">
        <v>119</v>
      </c>
      <c r="G987" t="s">
        <v>41</v>
      </c>
      <c r="H987" t="s">
        <v>85</v>
      </c>
      <c r="I987">
        <v>9</v>
      </c>
      <c r="J987" s="1">
        <v>200.61</v>
      </c>
      <c r="K987">
        <v>0.28000000000000003</v>
      </c>
      <c r="L987" s="1">
        <v>1329.23</v>
      </c>
      <c r="M987" s="1">
        <v>806.66</v>
      </c>
      <c r="N987" s="1">
        <v>52.8</v>
      </c>
      <c r="O987" t="s">
        <v>36</v>
      </c>
      <c r="P987">
        <v>4</v>
      </c>
      <c r="Q987" t="b">
        <v>0</v>
      </c>
      <c r="R987" t="s">
        <v>175</v>
      </c>
      <c r="S987">
        <v>9</v>
      </c>
      <c r="T987" t="e">
        <f>IF(#REF!&lt;=25, "Young Age", IF(#REF!&lt;=40, "Mid Age", "Old Age"))</f>
        <v>#REF!</v>
      </c>
      <c r="U987" t="str">
        <f t="shared" si="15"/>
        <v>Over Delayed</v>
      </c>
    </row>
    <row r="988" spans="1:21" x14ac:dyDescent="0.35">
      <c r="A988" t="s">
        <v>2118</v>
      </c>
      <c r="B988" s="13">
        <v>44346</v>
      </c>
      <c r="C988" t="s">
        <v>2119</v>
      </c>
      <c r="D988" t="s">
        <v>3</v>
      </c>
      <c r="E988" t="s">
        <v>61</v>
      </c>
      <c r="F988" t="s">
        <v>271</v>
      </c>
      <c r="G988" t="s">
        <v>41</v>
      </c>
      <c r="H988" t="s">
        <v>244</v>
      </c>
      <c r="I988">
        <v>8</v>
      </c>
      <c r="J988" s="1">
        <v>1088.97</v>
      </c>
      <c r="K988">
        <v>0.22</v>
      </c>
      <c r="L988" s="1">
        <v>9425.16</v>
      </c>
      <c r="M988" s="1">
        <v>4003.12</v>
      </c>
      <c r="N988" s="1">
        <v>52.99</v>
      </c>
      <c r="O988" t="s">
        <v>36</v>
      </c>
      <c r="P988">
        <v>1</v>
      </c>
      <c r="Q988" t="b">
        <v>0</v>
      </c>
      <c r="R988" t="s">
        <v>63</v>
      </c>
      <c r="S988">
        <v>4</v>
      </c>
      <c r="T988" t="e">
        <f>IF(#REF!&lt;=25, "Young Age", IF(#REF!&lt;=40, "Mid Age", "Old Age"))</f>
        <v>#REF!</v>
      </c>
      <c r="U988" t="str">
        <f t="shared" si="15"/>
        <v>Okay</v>
      </c>
    </row>
    <row r="989" spans="1:21" x14ac:dyDescent="0.35">
      <c r="A989" t="s">
        <v>2120</v>
      </c>
      <c r="B989" s="13">
        <v>45196</v>
      </c>
      <c r="C989" t="s">
        <v>2121</v>
      </c>
      <c r="D989" t="s">
        <v>47</v>
      </c>
      <c r="E989" t="s">
        <v>53</v>
      </c>
      <c r="F989" t="s">
        <v>79</v>
      </c>
      <c r="G989" t="s">
        <v>55</v>
      </c>
      <c r="H989" t="s">
        <v>91</v>
      </c>
      <c r="I989">
        <v>9</v>
      </c>
      <c r="J989" s="1">
        <v>1354.39</v>
      </c>
      <c r="K989">
        <v>0.12</v>
      </c>
      <c r="L989" s="1">
        <v>14092.58</v>
      </c>
      <c r="M989" s="1">
        <v>4442.99</v>
      </c>
      <c r="N989" s="1">
        <v>43.39</v>
      </c>
      <c r="O989" t="s">
        <v>49</v>
      </c>
      <c r="P989">
        <v>5</v>
      </c>
      <c r="Q989" t="b">
        <v>0</v>
      </c>
      <c r="R989" t="s">
        <v>18</v>
      </c>
      <c r="S989">
        <v>10</v>
      </c>
      <c r="T989" t="e">
        <f>IF(#REF!&lt;=25, "Young Age", IF(#REF!&lt;=40, "Mid Age", "Old Age"))</f>
        <v>#REF!</v>
      </c>
      <c r="U989" t="str">
        <f t="shared" si="15"/>
        <v>Over Delayed</v>
      </c>
    </row>
    <row r="990" spans="1:21" x14ac:dyDescent="0.35">
      <c r="A990" t="s">
        <v>2122</v>
      </c>
      <c r="B990" s="13">
        <v>44694</v>
      </c>
      <c r="C990" t="s">
        <v>2123</v>
      </c>
      <c r="D990" t="s">
        <v>47</v>
      </c>
      <c r="E990" t="s">
        <v>53</v>
      </c>
      <c r="F990" t="s">
        <v>170</v>
      </c>
      <c r="G990" t="s">
        <v>41</v>
      </c>
      <c r="H990" t="s">
        <v>42</v>
      </c>
      <c r="I990">
        <v>8</v>
      </c>
      <c r="J990" s="1">
        <v>941.99</v>
      </c>
      <c r="K990">
        <v>0.39</v>
      </c>
      <c r="L990" s="1">
        <v>6393.22</v>
      </c>
      <c r="M990" s="1">
        <v>2237.36</v>
      </c>
      <c r="N990" s="1">
        <v>56.26</v>
      </c>
      <c r="O990" t="s">
        <v>30</v>
      </c>
      <c r="P990">
        <v>1</v>
      </c>
      <c r="Q990" t="b">
        <v>1</v>
      </c>
      <c r="R990" t="s">
        <v>9</v>
      </c>
      <c r="S990">
        <v>9</v>
      </c>
      <c r="T990" t="e">
        <f>IF(#REF!&lt;=25, "Young Age", IF(#REF!&lt;=40, "Mid Age", "Old Age"))</f>
        <v>#REF!</v>
      </c>
      <c r="U990" t="str">
        <f t="shared" si="15"/>
        <v>Over Delayed</v>
      </c>
    </row>
    <row r="991" spans="1:21" x14ac:dyDescent="0.35">
      <c r="A991" t="s">
        <v>2124</v>
      </c>
      <c r="B991" s="13">
        <v>44632</v>
      </c>
      <c r="C991" t="s">
        <v>2125</v>
      </c>
      <c r="D991" t="s">
        <v>3</v>
      </c>
      <c r="E991" t="s">
        <v>89</v>
      </c>
      <c r="F991" t="s">
        <v>299</v>
      </c>
      <c r="G991" t="s">
        <v>124</v>
      </c>
      <c r="H991" t="s">
        <v>125</v>
      </c>
      <c r="I991">
        <v>7</v>
      </c>
      <c r="J991" s="1">
        <v>14019.83</v>
      </c>
      <c r="K991">
        <v>0.28999999999999998</v>
      </c>
      <c r="L991" s="1">
        <v>84559.35</v>
      </c>
      <c r="M991" s="1">
        <v>18758.650000000001</v>
      </c>
      <c r="N991" s="1">
        <v>70.819999999999993</v>
      </c>
      <c r="O991" t="s">
        <v>8</v>
      </c>
      <c r="P991">
        <v>5</v>
      </c>
      <c r="Q991" t="b">
        <v>0</v>
      </c>
      <c r="R991" t="s">
        <v>18</v>
      </c>
      <c r="S991">
        <v>1</v>
      </c>
      <c r="T991" t="e">
        <f>IF(#REF!&lt;=25, "Young Age", IF(#REF!&lt;=40, "Mid Age", "Old Age"))</f>
        <v>#REF!</v>
      </c>
      <c r="U991" t="str">
        <f t="shared" si="15"/>
        <v>Okay</v>
      </c>
    </row>
    <row r="992" spans="1:21" x14ac:dyDescent="0.35">
      <c r="A992" t="s">
        <v>2126</v>
      </c>
      <c r="B992" s="13">
        <v>45294</v>
      </c>
      <c r="C992" t="s">
        <v>2127</v>
      </c>
      <c r="D992" t="s">
        <v>13</v>
      </c>
      <c r="E992" t="s">
        <v>4</v>
      </c>
      <c r="F992" t="s">
        <v>48</v>
      </c>
      <c r="G992" t="s">
        <v>124</v>
      </c>
      <c r="H992" t="s">
        <v>125</v>
      </c>
      <c r="I992">
        <v>8</v>
      </c>
      <c r="J992" s="1">
        <v>14903.83</v>
      </c>
      <c r="K992">
        <v>0.21</v>
      </c>
      <c r="L992" s="1">
        <v>89199.08</v>
      </c>
      <c r="M992" s="1">
        <v>18401.75</v>
      </c>
      <c r="N992" s="1">
        <v>76.17</v>
      </c>
      <c r="O992" t="s">
        <v>30</v>
      </c>
      <c r="P992">
        <v>4</v>
      </c>
      <c r="Q992" t="b">
        <v>0</v>
      </c>
      <c r="R992" t="s">
        <v>18</v>
      </c>
      <c r="S992">
        <v>10</v>
      </c>
      <c r="T992" t="e">
        <f>IF(#REF!&lt;=25, "Young Age", IF(#REF!&lt;=40, "Mid Age", "Old Age"))</f>
        <v>#REF!</v>
      </c>
      <c r="U992" t="str">
        <f t="shared" si="15"/>
        <v>Over Delayed</v>
      </c>
    </row>
    <row r="993" spans="1:21" x14ac:dyDescent="0.35">
      <c r="A993" t="s">
        <v>2128</v>
      </c>
      <c r="B993" s="13">
        <v>44750</v>
      </c>
      <c r="C993" t="s">
        <v>2129</v>
      </c>
      <c r="D993" t="s">
        <v>3</v>
      </c>
      <c r="E993" t="s">
        <v>4</v>
      </c>
      <c r="F993" t="s">
        <v>48</v>
      </c>
      <c r="G993" t="s">
        <v>105</v>
      </c>
      <c r="H993" t="s">
        <v>106</v>
      </c>
      <c r="I993">
        <v>2</v>
      </c>
      <c r="J993" s="1">
        <v>73303.92</v>
      </c>
      <c r="K993">
        <v>0.03</v>
      </c>
      <c r="L993" s="1">
        <v>235156.16</v>
      </c>
      <c r="M993" s="1">
        <v>20863.189999999999</v>
      </c>
      <c r="N993" s="1">
        <v>67.75</v>
      </c>
      <c r="O993" t="s">
        <v>43</v>
      </c>
      <c r="P993">
        <v>4</v>
      </c>
      <c r="Q993" t="b">
        <v>0</v>
      </c>
      <c r="R993" t="s">
        <v>18</v>
      </c>
      <c r="S993">
        <v>9</v>
      </c>
      <c r="T993" t="e">
        <f>IF(#REF!&lt;=25, "Young Age", IF(#REF!&lt;=40, "Mid Age", "Old Age"))</f>
        <v>#REF!</v>
      </c>
      <c r="U993" t="str">
        <f t="shared" si="15"/>
        <v>Over Delayed</v>
      </c>
    </row>
    <row r="994" spans="1:21" x14ac:dyDescent="0.35">
      <c r="A994" t="s">
        <v>2130</v>
      </c>
      <c r="B994" s="13">
        <v>44380</v>
      </c>
      <c r="C994" t="s">
        <v>2131</v>
      </c>
      <c r="D994" t="s">
        <v>3</v>
      </c>
      <c r="E994" t="s">
        <v>53</v>
      </c>
      <c r="F994" t="s">
        <v>114</v>
      </c>
      <c r="G994" t="s">
        <v>41</v>
      </c>
      <c r="H994" t="s">
        <v>85</v>
      </c>
      <c r="I994">
        <v>9</v>
      </c>
      <c r="J994" s="1">
        <v>1146.99</v>
      </c>
      <c r="K994">
        <v>0.35</v>
      </c>
      <c r="L994" s="1">
        <v>9257.42</v>
      </c>
      <c r="M994" s="1">
        <v>2753.44</v>
      </c>
      <c r="N994" s="1">
        <v>59.09</v>
      </c>
      <c r="O994" t="s">
        <v>57</v>
      </c>
      <c r="P994">
        <v>4</v>
      </c>
      <c r="Q994" t="b">
        <v>0</v>
      </c>
      <c r="R994" t="s">
        <v>1167</v>
      </c>
      <c r="S994">
        <v>9</v>
      </c>
      <c r="T994" t="e">
        <f>IF(#REF!&lt;=25, "Young Age", IF(#REF!&lt;=40, "Mid Age", "Old Age"))</f>
        <v>#REF!</v>
      </c>
      <c r="U994" t="str">
        <f t="shared" si="15"/>
        <v>Over Delayed</v>
      </c>
    </row>
    <row r="995" spans="1:21" x14ac:dyDescent="0.35">
      <c r="A995" t="s">
        <v>2132</v>
      </c>
      <c r="B995" s="13">
        <v>44799</v>
      </c>
      <c r="C995" t="s">
        <v>2133</v>
      </c>
      <c r="D995" t="s">
        <v>3</v>
      </c>
      <c r="E995" t="s">
        <v>89</v>
      </c>
      <c r="F995" t="s">
        <v>99</v>
      </c>
      <c r="G995" t="s">
        <v>16</v>
      </c>
      <c r="H995" t="s">
        <v>557</v>
      </c>
      <c r="I995">
        <v>6</v>
      </c>
      <c r="J995" s="1">
        <v>1131.18</v>
      </c>
      <c r="K995">
        <v>0.05</v>
      </c>
      <c r="L995" s="1">
        <v>8793.4599999999991</v>
      </c>
      <c r="M995" s="1">
        <v>4445.68</v>
      </c>
      <c r="N995" s="1">
        <v>69.489999999999995</v>
      </c>
      <c r="O995" t="s">
        <v>49</v>
      </c>
      <c r="P995">
        <v>1</v>
      </c>
      <c r="Q995" t="b">
        <v>0</v>
      </c>
      <c r="R995" t="s">
        <v>18</v>
      </c>
      <c r="S995">
        <v>8</v>
      </c>
      <c r="T995" t="e">
        <f>IF(#REF!&lt;=25, "Young Age", IF(#REF!&lt;=40, "Mid Age", "Old Age"))</f>
        <v>#REF!</v>
      </c>
      <c r="U995" t="str">
        <f t="shared" si="15"/>
        <v>Over Delayed</v>
      </c>
    </row>
    <row r="996" spans="1:21" x14ac:dyDescent="0.35">
      <c r="L996"/>
      <c r="N996"/>
      <c r="O996"/>
      <c r="P996"/>
      <c r="U996" t="str">
        <f t="shared" si="15"/>
        <v>Okay</v>
      </c>
    </row>
    <row r="997" spans="1:21" x14ac:dyDescent="0.35">
      <c r="L997"/>
      <c r="N997"/>
      <c r="O997"/>
      <c r="P997"/>
      <c r="U997" t="str">
        <f t="shared" si="15"/>
        <v>Okay</v>
      </c>
    </row>
    <row r="998" spans="1:21" x14ac:dyDescent="0.35">
      <c r="L998"/>
      <c r="N998"/>
      <c r="O998"/>
      <c r="P998"/>
      <c r="U998" t="str">
        <f t="shared" si="15"/>
        <v>Okay</v>
      </c>
    </row>
    <row r="999" spans="1:21" x14ac:dyDescent="0.35">
      <c r="L999"/>
      <c r="N999"/>
      <c r="O999"/>
      <c r="P999"/>
      <c r="U999" t="str">
        <f t="shared" si="15"/>
        <v>Okay</v>
      </c>
    </row>
    <row r="1000" spans="1:21" x14ac:dyDescent="0.35">
      <c r="L1000"/>
      <c r="N1000"/>
      <c r="O1000"/>
      <c r="P1000"/>
      <c r="U1000" t="str">
        <f t="shared" si="15"/>
        <v>Okay</v>
      </c>
    </row>
    <row r="1001" spans="1:21" x14ac:dyDescent="0.35">
      <c r="L1001"/>
      <c r="N1001"/>
      <c r="O1001"/>
      <c r="P1001"/>
      <c r="U1001" t="str">
        <f t="shared" si="15"/>
        <v>Okay</v>
      </c>
    </row>
    <row r="1002" spans="1:21" x14ac:dyDescent="0.35">
      <c r="L1002"/>
      <c r="N1002"/>
      <c r="O1002"/>
      <c r="P1002"/>
      <c r="U1002" t="str">
        <f t="shared" si="15"/>
        <v>Okay</v>
      </c>
    </row>
  </sheetData>
  <pageMargins left="0.70000000000000007" right="0.70000000000000007" top="0.75" bottom="0.75" header="0.30000000000000004" footer="0.30000000000000004"/>
  <pageSetup paperSize="0" orientation="portrait" horizontalDpi="0" verticalDpi="0" copie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selection activeCell="E36" sqref="E36"/>
    </sheetView>
  </sheetViews>
  <sheetFormatPr defaultRowHeight="14.5" x14ac:dyDescent="0.35"/>
  <cols>
    <col min="1" max="1" width="10.7265625" customWidth="1"/>
    <col min="2" max="2" width="20.1796875" customWidth="1"/>
    <col min="3" max="3" width="21.26953125" bestFit="1" customWidth="1"/>
    <col min="4" max="4" width="4.81640625" bestFit="1" customWidth="1"/>
    <col min="5" max="5" width="18.6328125" customWidth="1"/>
    <col min="6" max="6" width="4.81640625" hidden="1" customWidth="1"/>
    <col min="7" max="7" width="4.81640625" bestFit="1" customWidth="1"/>
    <col min="8" max="8" width="25.36328125" customWidth="1"/>
    <col min="9" max="15" width="5.81640625" bestFit="1" customWidth="1"/>
    <col min="16" max="17" width="4.81640625" bestFit="1" customWidth="1"/>
    <col min="18" max="24" width="5.81640625" bestFit="1" customWidth="1"/>
    <col min="25" max="25" width="4.81640625" bestFit="1" customWidth="1"/>
    <col min="26" max="33" width="5.81640625" bestFit="1" customWidth="1"/>
    <col min="34" max="34" width="4.81640625" bestFit="1" customWidth="1"/>
    <col min="35" max="46" width="5.81640625" bestFit="1" customWidth="1"/>
    <col min="47" max="47" width="4.81640625" bestFit="1" customWidth="1"/>
    <col min="48" max="52" width="5.81640625" bestFit="1" customWidth="1"/>
    <col min="53" max="53" width="4.81640625" bestFit="1" customWidth="1"/>
    <col min="54" max="59" width="5.81640625" bestFit="1" customWidth="1"/>
    <col min="60" max="60" width="4.81640625" bestFit="1" customWidth="1"/>
    <col min="61" max="61" width="5.81640625" bestFit="1" customWidth="1"/>
    <col min="62" max="63" width="4.81640625" bestFit="1" customWidth="1"/>
    <col min="64" max="73" width="5.81640625" bestFit="1" customWidth="1"/>
    <col min="74" max="74" width="4.81640625" bestFit="1" customWidth="1"/>
    <col min="75" max="81" width="6.81640625" bestFit="1" customWidth="1"/>
    <col min="82" max="82" width="5.81640625" bestFit="1" customWidth="1"/>
    <col min="83" max="85" width="6.81640625" bestFit="1" customWidth="1"/>
    <col min="86" max="86" width="5.81640625" bestFit="1" customWidth="1"/>
    <col min="87" max="87" width="6.81640625" bestFit="1" customWidth="1"/>
    <col min="88" max="88" width="5.81640625" bestFit="1" customWidth="1"/>
    <col min="89" max="98" width="6.81640625" bestFit="1" customWidth="1"/>
    <col min="99" max="99" width="3.81640625" bestFit="1" customWidth="1"/>
    <col min="100" max="101" width="5.81640625" bestFit="1" customWidth="1"/>
    <col min="102" max="105" width="6.81640625" bestFit="1" customWidth="1"/>
    <col min="106" max="106" width="5.81640625" bestFit="1" customWidth="1"/>
    <col min="107" max="110" width="6.81640625" bestFit="1" customWidth="1"/>
    <col min="111" max="111" width="5.81640625" bestFit="1" customWidth="1"/>
    <col min="112" max="112" width="6.81640625" bestFit="1" customWidth="1"/>
    <col min="113" max="113" width="5.81640625" bestFit="1" customWidth="1"/>
    <col min="114" max="116" width="6.81640625" bestFit="1" customWidth="1"/>
    <col min="117" max="117" width="5.81640625" bestFit="1" customWidth="1"/>
    <col min="118" max="123" width="6.81640625" bestFit="1" customWidth="1"/>
    <col min="124" max="124" width="5.81640625" bestFit="1" customWidth="1"/>
    <col min="125" max="138" width="6.81640625" bestFit="1" customWidth="1"/>
    <col min="139" max="139" width="5.81640625" bestFit="1" customWidth="1"/>
    <col min="140" max="144" width="6.81640625" bestFit="1" customWidth="1"/>
    <col min="145" max="145" width="5.81640625" bestFit="1" customWidth="1"/>
    <col min="146" max="149" width="6.81640625" bestFit="1" customWidth="1"/>
    <col min="150" max="150" width="5.81640625" bestFit="1" customWidth="1"/>
    <col min="151" max="155" width="6.81640625" bestFit="1" customWidth="1"/>
    <col min="156" max="156" width="5.81640625" bestFit="1" customWidth="1"/>
    <col min="157" max="164" width="6.81640625" bestFit="1" customWidth="1"/>
    <col min="165" max="165" width="5.81640625" bestFit="1" customWidth="1"/>
    <col min="166" max="181" width="6.81640625" bestFit="1" customWidth="1"/>
    <col min="182" max="182" width="5.81640625" bestFit="1" customWidth="1"/>
    <col min="183" max="202" width="6.81640625" bestFit="1" customWidth="1"/>
    <col min="203" max="203" width="5.81640625" bestFit="1" customWidth="1"/>
    <col min="204" max="208" width="6.81640625" bestFit="1" customWidth="1"/>
    <col min="209" max="209" width="3.81640625" bestFit="1" customWidth="1"/>
    <col min="210" max="211" width="6.81640625" bestFit="1" customWidth="1"/>
    <col min="212" max="212" width="5.81640625" bestFit="1" customWidth="1"/>
    <col min="213" max="237" width="6.81640625" bestFit="1" customWidth="1"/>
    <col min="238" max="238" width="5.81640625" bestFit="1" customWidth="1"/>
    <col min="239" max="249" width="6.81640625" bestFit="1" customWidth="1"/>
    <col min="250" max="250" width="5.81640625" bestFit="1" customWidth="1"/>
    <col min="251" max="253" width="6.81640625" bestFit="1" customWidth="1"/>
    <col min="254" max="254" width="5.81640625" bestFit="1" customWidth="1"/>
    <col min="255" max="258" width="6.81640625" bestFit="1" customWidth="1"/>
    <col min="259" max="259" width="5.81640625" bestFit="1" customWidth="1"/>
    <col min="260" max="260" width="6.81640625" bestFit="1" customWidth="1"/>
    <col min="261" max="261" width="5.81640625" bestFit="1" customWidth="1"/>
    <col min="262" max="280" width="6.81640625" bestFit="1" customWidth="1"/>
    <col min="281" max="286" width="7.81640625" bestFit="1" customWidth="1"/>
    <col min="287" max="287" width="6.81640625" bestFit="1" customWidth="1"/>
    <col min="288" max="296" width="7.81640625" bestFit="1" customWidth="1"/>
    <col min="297" max="297" width="4.81640625" bestFit="1" customWidth="1"/>
    <col min="298" max="303" width="7.81640625" bestFit="1" customWidth="1"/>
    <col min="304" max="304" width="6.81640625" bestFit="1" customWidth="1"/>
    <col min="305" max="325" width="7.81640625" bestFit="1" customWidth="1"/>
    <col min="326" max="326" width="6.81640625" bestFit="1" customWidth="1"/>
    <col min="327" max="332" width="7.81640625" bestFit="1" customWidth="1"/>
    <col min="333" max="334" width="6.81640625" bestFit="1" customWidth="1"/>
    <col min="335" max="339" width="7.81640625" bestFit="1" customWidth="1"/>
    <col min="340" max="340" width="6.81640625" bestFit="1" customWidth="1"/>
    <col min="341" max="341" width="4.81640625" bestFit="1" customWidth="1"/>
    <col min="342" max="345" width="7.81640625" bestFit="1" customWidth="1"/>
    <col min="346" max="346" width="6.81640625" bestFit="1" customWidth="1"/>
    <col min="347" max="363" width="7.81640625" bestFit="1" customWidth="1"/>
    <col min="364" max="365" width="6.81640625" bestFit="1" customWidth="1"/>
    <col min="366" max="381" width="7.81640625" bestFit="1" customWidth="1"/>
    <col min="382" max="382" width="6.81640625" bestFit="1" customWidth="1"/>
    <col min="383" max="385" width="7.81640625" bestFit="1" customWidth="1"/>
    <col min="386" max="386" width="6.81640625" bestFit="1" customWidth="1"/>
    <col min="387" max="407" width="7.81640625" bestFit="1" customWidth="1"/>
    <col min="408" max="408" width="6.81640625" bestFit="1" customWidth="1"/>
    <col min="409" max="414" width="7.81640625" bestFit="1" customWidth="1"/>
    <col min="415" max="415" width="6.81640625" bestFit="1" customWidth="1"/>
    <col min="416" max="417" width="7.81640625" bestFit="1" customWidth="1"/>
    <col min="418" max="418" width="6.81640625" bestFit="1" customWidth="1"/>
    <col min="419" max="426" width="7.81640625" bestFit="1" customWidth="1"/>
    <col min="427" max="428" width="6.81640625" bestFit="1" customWidth="1"/>
    <col min="429" max="437" width="7.81640625" bestFit="1" customWidth="1"/>
    <col min="438" max="438" width="6.81640625" bestFit="1" customWidth="1"/>
    <col min="439" max="457" width="7.81640625" bestFit="1" customWidth="1"/>
    <col min="458" max="458" width="6.81640625" bestFit="1" customWidth="1"/>
    <col min="459" max="459" width="7.81640625" bestFit="1" customWidth="1"/>
    <col min="460" max="460" width="4.81640625" bestFit="1" customWidth="1"/>
    <col min="461" max="462" width="7.81640625" bestFit="1" customWidth="1"/>
    <col min="463" max="463" width="6.81640625" bestFit="1" customWidth="1"/>
    <col min="464" max="465" width="7.81640625" bestFit="1" customWidth="1"/>
    <col min="466" max="466" width="6.81640625" bestFit="1" customWidth="1"/>
    <col min="467" max="482" width="7.81640625" bestFit="1" customWidth="1"/>
    <col min="483" max="483" width="6.81640625" bestFit="1" customWidth="1"/>
    <col min="484" max="500" width="7.81640625" bestFit="1" customWidth="1"/>
    <col min="501" max="501" width="6.81640625" bestFit="1" customWidth="1"/>
    <col min="502" max="502" width="4.81640625" bestFit="1" customWidth="1"/>
    <col min="503" max="505" width="7.81640625" bestFit="1" customWidth="1"/>
    <col min="506" max="506" width="6.81640625" bestFit="1" customWidth="1"/>
    <col min="507" max="520" width="7.81640625" bestFit="1" customWidth="1"/>
    <col min="521" max="522" width="6.81640625" bestFit="1" customWidth="1"/>
    <col min="523" max="539" width="7.81640625" bestFit="1" customWidth="1"/>
    <col min="540" max="540" width="6.81640625" bestFit="1" customWidth="1"/>
    <col min="541" max="542" width="7.81640625" bestFit="1" customWidth="1"/>
    <col min="543" max="543" width="4.81640625" bestFit="1" customWidth="1"/>
    <col min="544" max="584" width="7.81640625" bestFit="1" customWidth="1"/>
    <col min="585" max="585" width="6.81640625" bestFit="1" customWidth="1"/>
    <col min="586" max="607" width="7.81640625" bestFit="1" customWidth="1"/>
    <col min="608" max="608" width="4.81640625" bestFit="1" customWidth="1"/>
    <col min="609" max="611" width="7.81640625" bestFit="1" customWidth="1"/>
    <col min="612" max="613" width="6.81640625" bestFit="1" customWidth="1"/>
    <col min="614" max="616" width="7.81640625" bestFit="1" customWidth="1"/>
    <col min="617" max="617" width="6.81640625" bestFit="1" customWidth="1"/>
    <col min="618" max="621" width="7.81640625" bestFit="1" customWidth="1"/>
    <col min="622" max="622" width="6.81640625" bestFit="1" customWidth="1"/>
    <col min="623" max="638" width="7.81640625" bestFit="1" customWidth="1"/>
    <col min="639" max="639" width="6.81640625" bestFit="1" customWidth="1"/>
    <col min="640" max="646" width="7.81640625" bestFit="1" customWidth="1"/>
    <col min="647" max="647" width="6.81640625" bestFit="1" customWidth="1"/>
    <col min="648" max="649" width="7.81640625" bestFit="1" customWidth="1"/>
    <col min="650" max="651" width="6.81640625" bestFit="1" customWidth="1"/>
    <col min="652" max="652" width="7.81640625" bestFit="1" customWidth="1"/>
    <col min="653" max="653" width="6.81640625" bestFit="1" customWidth="1"/>
    <col min="654" max="654" width="7.81640625" bestFit="1" customWidth="1"/>
    <col min="655" max="655" width="6.81640625" bestFit="1" customWidth="1"/>
    <col min="656" max="684" width="7.81640625" bestFit="1" customWidth="1"/>
    <col min="685" max="685" width="6.81640625" bestFit="1" customWidth="1"/>
    <col min="686" max="687" width="7.81640625" bestFit="1" customWidth="1"/>
    <col min="688" max="688" width="6.81640625" bestFit="1" customWidth="1"/>
    <col min="689" max="712" width="7.81640625" bestFit="1" customWidth="1"/>
    <col min="713" max="713" width="6.81640625" bestFit="1" customWidth="1"/>
    <col min="714" max="714" width="7.81640625" bestFit="1" customWidth="1"/>
    <col min="715" max="715" width="6.81640625" bestFit="1" customWidth="1"/>
    <col min="716" max="719" width="7.81640625" bestFit="1" customWidth="1"/>
    <col min="720" max="720" width="8.81640625" bestFit="1" customWidth="1"/>
    <col min="721" max="721" width="7.81640625" bestFit="1" customWidth="1"/>
    <col min="722" max="726" width="8.81640625" bestFit="1" customWidth="1"/>
    <col min="727" max="727" width="7.81640625" bestFit="1" customWidth="1"/>
    <col min="728" max="746" width="8.81640625" bestFit="1" customWidth="1"/>
    <col min="747" max="747" width="7.81640625" bestFit="1" customWidth="1"/>
    <col min="748" max="752" width="8.81640625" bestFit="1" customWidth="1"/>
    <col min="753" max="753" width="7.81640625" bestFit="1" customWidth="1"/>
    <col min="754" max="797" width="8.81640625" bestFit="1" customWidth="1"/>
    <col min="798" max="799" width="7.81640625" bestFit="1" customWidth="1"/>
    <col min="800" max="800" width="5.81640625" bestFit="1" customWidth="1"/>
    <col min="801" max="804" width="8.81640625" bestFit="1" customWidth="1"/>
    <col min="805" max="805" width="5.81640625" bestFit="1" customWidth="1"/>
    <col min="806" max="810" width="8.81640625" bestFit="1" customWidth="1"/>
    <col min="811" max="811" width="5.81640625" bestFit="1" customWidth="1"/>
    <col min="812" max="815" width="8.81640625" bestFit="1" customWidth="1"/>
    <col min="816" max="816" width="7.81640625" bestFit="1" customWidth="1"/>
    <col min="817" max="817" width="5.81640625" bestFit="1" customWidth="1"/>
    <col min="818" max="825" width="8.81640625" bestFit="1" customWidth="1"/>
    <col min="826" max="827" width="7.81640625" bestFit="1" customWidth="1"/>
    <col min="828" max="849" width="8.81640625" bestFit="1" customWidth="1"/>
    <col min="850" max="850" width="7.81640625" bestFit="1" customWidth="1"/>
    <col min="851" max="852" width="8.81640625" bestFit="1" customWidth="1"/>
    <col min="853" max="854" width="7.81640625" bestFit="1" customWidth="1"/>
    <col min="855" max="857" width="8.81640625" bestFit="1" customWidth="1"/>
    <col min="858" max="858" width="7.81640625" bestFit="1" customWidth="1"/>
    <col min="859" max="861" width="8.81640625" bestFit="1" customWidth="1"/>
    <col min="862" max="862" width="7.81640625" bestFit="1" customWidth="1"/>
    <col min="863" max="863" width="8.81640625" bestFit="1" customWidth="1"/>
    <col min="864" max="864" width="7.81640625" bestFit="1" customWidth="1"/>
    <col min="865" max="879" width="8.81640625" bestFit="1" customWidth="1"/>
    <col min="880" max="881" width="7.81640625" bestFit="1" customWidth="1"/>
    <col min="882" max="888" width="8.81640625" bestFit="1" customWidth="1"/>
    <col min="889" max="890" width="7.81640625" bestFit="1" customWidth="1"/>
    <col min="891" max="892" width="8.81640625" bestFit="1" customWidth="1"/>
    <col min="893" max="893" width="7.81640625" bestFit="1" customWidth="1"/>
    <col min="894" max="898" width="8.81640625" bestFit="1" customWidth="1"/>
    <col min="899" max="899" width="7.81640625" bestFit="1" customWidth="1"/>
    <col min="900" max="901" width="8.81640625" bestFit="1" customWidth="1"/>
    <col min="902" max="902" width="7.81640625" bestFit="1" customWidth="1"/>
    <col min="903" max="909" width="8.81640625" bestFit="1" customWidth="1"/>
    <col min="910" max="910" width="7.81640625" bestFit="1" customWidth="1"/>
    <col min="911" max="929" width="8.81640625" bestFit="1" customWidth="1"/>
    <col min="930" max="930" width="7.81640625" bestFit="1" customWidth="1"/>
    <col min="931" max="940" width="8.81640625" bestFit="1" customWidth="1"/>
    <col min="941" max="941" width="7.81640625" bestFit="1" customWidth="1"/>
    <col min="942" max="947" width="8.81640625" bestFit="1" customWidth="1"/>
    <col min="948" max="948" width="7.81640625" bestFit="1" customWidth="1"/>
    <col min="949" max="949" width="8.81640625" bestFit="1" customWidth="1"/>
    <col min="950" max="950" width="7.81640625" bestFit="1" customWidth="1"/>
    <col min="951" max="962" width="8.81640625" bestFit="1" customWidth="1"/>
    <col min="963" max="963" width="7.81640625" bestFit="1" customWidth="1"/>
    <col min="964" max="981" width="8.81640625" bestFit="1" customWidth="1"/>
    <col min="982" max="986" width="9.81640625" bestFit="1" customWidth="1"/>
    <col min="987" max="987" width="6.7265625" bestFit="1" customWidth="1"/>
    <col min="988" max="988" width="10.7265625" bestFit="1" customWidth="1"/>
  </cols>
  <sheetData>
    <row r="1" spans="1:2" ht="15.5" x14ac:dyDescent="0.35">
      <c r="A1" s="7" t="s">
        <v>2179</v>
      </c>
      <c r="B1" s="7"/>
    </row>
    <row r="3" spans="1:2" x14ac:dyDescent="0.35">
      <c r="A3" s="4" t="s">
        <v>2183</v>
      </c>
      <c r="B3" s="9" t="s">
        <v>2182</v>
      </c>
    </row>
    <row r="4" spans="1:2" x14ac:dyDescent="0.35">
      <c r="A4" s="5" t="s">
        <v>120</v>
      </c>
      <c r="B4" s="9">
        <v>6795778.7399999993</v>
      </c>
    </row>
    <row r="5" spans="1:2" x14ac:dyDescent="0.35">
      <c r="A5" s="5" t="s">
        <v>149</v>
      </c>
      <c r="B5" s="9">
        <v>6175821.1899999995</v>
      </c>
    </row>
    <row r="6" spans="1:2" x14ac:dyDescent="0.35">
      <c r="A6" s="5" t="s">
        <v>174</v>
      </c>
      <c r="B6" s="9">
        <v>5921745.0299999993</v>
      </c>
    </row>
    <row r="7" spans="1:2" x14ac:dyDescent="0.35">
      <c r="A7" s="5" t="s">
        <v>282</v>
      </c>
      <c r="B7" s="9">
        <v>5461944.0600000005</v>
      </c>
    </row>
    <row r="8" spans="1:2" x14ac:dyDescent="0.35">
      <c r="A8" s="5" t="s">
        <v>438</v>
      </c>
      <c r="B8" s="9">
        <v>4026016.2900000005</v>
      </c>
    </row>
    <row r="9" spans="1:2" x14ac:dyDescent="0.35">
      <c r="A9" s="5" t="s">
        <v>106</v>
      </c>
      <c r="B9" s="9">
        <v>3827753.8699999996</v>
      </c>
    </row>
    <row r="10" spans="1:2" x14ac:dyDescent="0.35">
      <c r="A10" s="5" t="s">
        <v>29</v>
      </c>
      <c r="B10" s="9">
        <v>3145042.6100000008</v>
      </c>
    </row>
    <row r="11" spans="1:2" x14ac:dyDescent="0.35">
      <c r="A11" s="5" t="s">
        <v>71</v>
      </c>
      <c r="B11" s="9">
        <v>2433309.54</v>
      </c>
    </row>
    <row r="12" spans="1:2" x14ac:dyDescent="0.35">
      <c r="A12" s="5" t="s">
        <v>95</v>
      </c>
      <c r="B12" s="9">
        <v>2334891.5500000003</v>
      </c>
    </row>
    <row r="13" spans="1:2" x14ac:dyDescent="0.35">
      <c r="A13" s="5" t="s">
        <v>24</v>
      </c>
      <c r="B13" s="9">
        <v>1838839.5299999996</v>
      </c>
    </row>
    <row r="14" spans="1:2" x14ac:dyDescent="0.35">
      <c r="A14" s="5" t="s">
        <v>2178</v>
      </c>
      <c r="B14" s="9">
        <v>41961142.409999996</v>
      </c>
    </row>
    <row r="16" spans="1:2" x14ac:dyDescent="0.35">
      <c r="A16" s="4" t="s">
        <v>2185</v>
      </c>
      <c r="B16" t="s">
        <v>9</v>
      </c>
    </row>
    <row r="18" spans="1:6" x14ac:dyDescent="0.35">
      <c r="A18" s="4" t="s">
        <v>2181</v>
      </c>
      <c r="B18" t="s">
        <v>2180</v>
      </c>
    </row>
    <row r="19" spans="1:6" x14ac:dyDescent="0.35">
      <c r="A19" s="5" t="s">
        <v>16</v>
      </c>
      <c r="B19" s="6">
        <v>24</v>
      </c>
    </row>
    <row r="20" spans="1:6" x14ac:dyDescent="0.35">
      <c r="A20" s="5" t="s">
        <v>41</v>
      </c>
      <c r="B20" s="6">
        <v>23</v>
      </c>
    </row>
    <row r="21" spans="1:6" x14ac:dyDescent="0.35">
      <c r="A21" s="5" t="s">
        <v>55</v>
      </c>
      <c r="B21" s="6">
        <v>18</v>
      </c>
    </row>
    <row r="22" spans="1:6" x14ac:dyDescent="0.35">
      <c r="A22" s="5" t="s">
        <v>105</v>
      </c>
      <c r="B22" s="6">
        <v>23</v>
      </c>
      <c r="F22" t="s">
        <v>2186</v>
      </c>
    </row>
    <row r="23" spans="1:6" x14ac:dyDescent="0.35">
      <c r="A23" s="5" t="s">
        <v>23</v>
      </c>
      <c r="B23" s="6">
        <v>15</v>
      </c>
    </row>
    <row r="24" spans="1:6" x14ac:dyDescent="0.35">
      <c r="A24" s="5" t="s">
        <v>6</v>
      </c>
      <c r="B24" s="6">
        <v>18</v>
      </c>
    </row>
    <row r="25" spans="1:6" x14ac:dyDescent="0.35">
      <c r="A25" s="5" t="s">
        <v>124</v>
      </c>
      <c r="B25" s="6">
        <v>19</v>
      </c>
    </row>
    <row r="26" spans="1:6" x14ac:dyDescent="0.35">
      <c r="A26" s="5" t="s">
        <v>2178</v>
      </c>
      <c r="B26" s="6">
        <v>140</v>
      </c>
    </row>
    <row r="28" spans="1:6" ht="15.5" x14ac:dyDescent="0.35">
      <c r="A28" s="8" t="s">
        <v>2187</v>
      </c>
    </row>
    <row r="30" spans="1:6" x14ac:dyDescent="0.35">
      <c r="A30" s="4" t="s">
        <v>2137</v>
      </c>
      <c r="B30" s="10" t="s">
        <v>2184</v>
      </c>
    </row>
    <row r="31" spans="1:6" x14ac:dyDescent="0.35">
      <c r="A31" s="5" t="s">
        <v>89</v>
      </c>
      <c r="B31" s="10">
        <v>213</v>
      </c>
    </row>
    <row r="32" spans="1:6" x14ac:dyDescent="0.35">
      <c r="A32" s="5" t="s">
        <v>53</v>
      </c>
      <c r="B32" s="10">
        <v>211</v>
      </c>
    </row>
    <row r="33" spans="1:2" x14ac:dyDescent="0.35">
      <c r="A33" s="5" t="s">
        <v>61</v>
      </c>
      <c r="B33" s="10">
        <v>207</v>
      </c>
    </row>
    <row r="34" spans="1:2" x14ac:dyDescent="0.35">
      <c r="A34" s="5" t="s">
        <v>14</v>
      </c>
      <c r="B34" s="10">
        <v>198</v>
      </c>
    </row>
    <row r="35" spans="1:2" x14ac:dyDescent="0.35">
      <c r="A35" s="5" t="s">
        <v>4</v>
      </c>
      <c r="B35" s="10">
        <v>165</v>
      </c>
    </row>
    <row r="36" spans="1:2" x14ac:dyDescent="0.35">
      <c r="A36" s="5" t="s">
        <v>2178</v>
      </c>
      <c r="B36" s="10">
        <v>994</v>
      </c>
    </row>
    <row r="38" spans="1:2" ht="15.5" x14ac:dyDescent="0.35">
      <c r="A38" s="7" t="s">
        <v>2189</v>
      </c>
      <c r="B38" s="8"/>
    </row>
    <row r="40" spans="1:2" x14ac:dyDescent="0.35">
      <c r="A40" s="4" t="s">
        <v>2177</v>
      </c>
      <c r="B40" s="9" t="s">
        <v>2188</v>
      </c>
    </row>
    <row r="41" spans="1:2" x14ac:dyDescent="0.35">
      <c r="A41" s="5" t="s">
        <v>3</v>
      </c>
      <c r="B41" s="9">
        <v>20431267.859999996</v>
      </c>
    </row>
    <row r="42" spans="1:2" x14ac:dyDescent="0.35">
      <c r="A42" s="5" t="s">
        <v>13</v>
      </c>
      <c r="B42" s="9">
        <v>18165006.280000005</v>
      </c>
    </row>
    <row r="43" spans="1:2" x14ac:dyDescent="0.35">
      <c r="A43" s="5" t="s">
        <v>47</v>
      </c>
      <c r="B43" s="9">
        <v>15326022.630000005</v>
      </c>
    </row>
    <row r="44" spans="1:2" x14ac:dyDescent="0.35">
      <c r="A44" s="5" t="s">
        <v>2178</v>
      </c>
      <c r="B44" s="9">
        <v>53922296.770000011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pivot 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2026-01-14T06:59:28Z</dcterms:created>
  <dcterms:modified xsi:type="dcterms:W3CDTF">2026-07-02T21:32:19Z</dcterms:modified>
</cp:coreProperties>
</file>